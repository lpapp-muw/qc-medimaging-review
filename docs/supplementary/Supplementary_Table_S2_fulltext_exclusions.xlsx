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2_fulltext_exclusions" sheetId="1" state="visible" r:id="rId3"/>
    <sheet name="README" sheetId="2" state="visible" r:id="rId4"/>
    <sheet name="Checks" sheetId="3" state="visible" r:id="rId5"/>
  </sheets>
  <definedNames>
    <definedName function="false" hidden="true" localSheetId="0" name="_xlnm._FilterDatabase" vbProcedure="false">S2_fulltext_exclusions!$A$1:$J$49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<sst xmlns="http://schemas.openxmlformats.org/spreadsheetml/2006/main" count="450" uniqueCount="277">
  <si>
    <t xml:space="preserve">No.</t>
  </si>
  <si>
    <t xml:space="preserve">DOI</t>
  </si>
  <si>
    <t xml:space="preserve">First author</t>
  </si>
  <si>
    <t xml:space="preserve">Year</t>
  </si>
  <si>
    <t xml:space="preserve">Title</t>
  </si>
  <si>
    <t xml:space="preserve">Journal</t>
  </si>
  <si>
    <t xml:space="preserve">Exclusion route</t>
  </si>
  <si>
    <t xml:space="preserve">Reason (consolidated)</t>
  </si>
  <si>
    <t xml:space="preserve">Reason as recorded</t>
  </si>
  <si>
    <t xml:space="preserve">Recorded note</t>
  </si>
  <si>
    <t xml:space="preserve">10.1007/s10586-024-04852-2</t>
  </si>
  <si>
    <t xml:space="preserve">Ahmadpour, Seyed-Sajad</t>
  </si>
  <si>
    <t xml:space="preserve">A new quantum-enhanced approach to AI-driven medical imaging system</t>
  </si>
  <si>
    <t xml:space="preserve">Cluster Computing</t>
  </si>
  <si>
    <t xml:space="preserve">Automated paradigm and scope rule</t>
  </si>
  <si>
    <t xml:space="preserve">Quantum cellular automata</t>
  </si>
  <si>
    <t xml:space="preserve">quantum cellular automata, not gate/annealing quantum computing</t>
  </si>
  <si>
    <t xml:space="preserve">Rule applied to extracted paradigm fields. Subcategory: quantum_cellular_automata. Facets: quantum_cellular_automata; detector_instrumentation.</t>
  </si>
  <si>
    <t xml:space="preserve">10.1007/s11227-025-07963-8</t>
  </si>
  <si>
    <t xml:space="preserve">Kush, Lav</t>
  </si>
  <si>
    <t xml:space="preserve">Energy-efficient design of priority encoder-based median filter in QCA for impulse noise reduction</t>
  </si>
  <si>
    <t xml:space="preserve">The Journal of Supercomputing</t>
  </si>
  <si>
    <t xml:space="preserve">Rule applied to extracted paradigm fields. Subcategory: quantum_cellular_automata. Facets: quantum_cellular_automata; quantum_arithmetic_logic; quantum_image_representation.</t>
  </si>
  <si>
    <t xml:space="preserve">10.1103/physreva.110.063512</t>
  </si>
  <si>
    <t xml:space="preserve">Huang, Yiyue</t>
  </si>
  <si>
    <t xml:space="preserve">Deep learning in classical x-ray ghost imaging for dose reduction</t>
  </si>
  <si>
    <t xml:space="preserve">Physical Review A</t>
  </si>
  <si>
    <t xml:space="preserve">Quantum physics phenomenon</t>
  </si>
  <si>
    <t xml:space="preserve">quantum physics phenomenon (entanglement / error-correction), not quantum computing</t>
  </si>
  <si>
    <t xml:space="preserve">Rule applied to extracted paradigm fields. Subcategory: quantum_physics_phenomenon. Facets: quantum_physics_phenomenon.</t>
  </si>
  <si>
    <t xml:space="preserve">10.1016/j.ejmp.2026.105780</t>
  </si>
  <si>
    <t xml:space="preserve">Kožuljević, Ana Marija</t>
  </si>
  <si>
    <t xml:space="preserve">Towards polarization-enhanced PET: Study of random background in polarization-correlated Compton events</t>
  </si>
  <si>
    <t xml:space="preserve">Physica Medica</t>
  </si>
  <si>
    <t xml:space="preserve">Quantum sensing or detector physics</t>
  </si>
  <si>
    <t xml:space="preserve">quantum sensing / detector physics, not quantum computing</t>
  </si>
  <si>
    <t xml:space="preserve">Rule applied to extracted paradigm fields. Subcategory: detector_instrumentation. Facets: detector_instrumentation; quantum_physics_phenomenon.</t>
  </si>
  <si>
    <t xml:space="preserve">10.1038/s41467-021-22907-5</t>
  </si>
  <si>
    <t xml:space="preserve">Watts, D. P.</t>
  </si>
  <si>
    <t xml:space="preserve">Photon quantum entanglement in the MeV regime and its application in PET imaging</t>
  </si>
  <si>
    <t xml:space="preserve">Nature Communications</t>
  </si>
  <si>
    <t xml:space="preserve">10.1038/s41598-024-60472-1</t>
  </si>
  <si>
    <t xml:space="preserve">Hiesmayr, B. C.</t>
  </si>
  <si>
    <t xml:space="preserve">Quantum error channels in high energetic photonic systems</t>
  </si>
  <si>
    <t xml:space="preserve">Scientific Reports</t>
  </si>
  <si>
    <t xml:space="preserve">10.1038/s41598-025-32951-6</t>
  </si>
  <si>
    <t xml:space="preserve">Gurunath Bharathi, Praveen</t>
  </si>
  <si>
    <t xml:space="preserve">Machine learning-assisted event classification in cadmium zinc telluride positron emission tomography detectors leveraging entanglement-informed angular correlations</t>
  </si>
  <si>
    <t xml:space="preserve">10.1088/1748-0221/18/07/p07007</t>
  </si>
  <si>
    <t xml:space="preserve">Kim, Donghwan</t>
  </si>
  <si>
    <t xml:space="preserve">Background reduction in PET by double Compton scattering of quantum entangled annihilation photons</t>
  </si>
  <si>
    <t xml:space="preserve">Journal of Instrumentation</t>
  </si>
  <si>
    <t xml:space="preserve">10.1109/tim.2025.3533651</t>
  </si>
  <si>
    <t xml:space="preserve">Kim, Sundo</t>
  </si>
  <si>
    <t xml:space="preserve">A Light Detector Capacitance Compensation Technique Achieving Boosted Active Quenching for Single-Photon Avalanche Diodes</t>
  </si>
  <si>
    <t xml:space="preserve">IEEE Transactions on Instrumentation and Measurement</t>
  </si>
  <si>
    <t xml:space="preserve">Rule applied to extracted paradigm fields. Subcategory: detector_instrumentation. Facets: detector_instrumentation.</t>
  </si>
  <si>
    <t xml:space="preserve">10.1109/tns.2022.3140396</t>
  </si>
  <si>
    <t xml:space="preserve">Dudak, Jan</t>
  </si>
  <si>
    <t xml:space="preserve">Applicability of Large-Area Single-Photon Counting Detectors Timepix for High-Resolution and High-Contrast X-Ray Imaging of Biological Samples</t>
  </si>
  <si>
    <t xml:space="preserve">IEEE Transactions on Nuclear Science</t>
  </si>
  <si>
    <t xml:space="preserve">10.1109/tns.2024.3369972</t>
  </si>
  <si>
    <t xml:space="preserve">Granja, C.</t>
  </si>
  <si>
    <t xml:space="preserve">Composition and Spectral Characterization of Mixed-Radiation Fields With Enhanced Discrimination by Quantum Imaging Detection</t>
  </si>
  <si>
    <t xml:space="preserve">10.1109/trpms.2024.3388872</t>
  </si>
  <si>
    <t xml:space="preserve">Romanchek, Gregory</t>
  </si>
  <si>
    <t xml:space="preserve">Quantum Entanglement Filtering: A PET feasibility study in imaging dual-positron and prompt gamma emission via Monte Carlo simulation</t>
  </si>
  <si>
    <t xml:space="preserve">IEEE Transactions on Radiation and Plasma Medical Sciences</t>
  </si>
  <si>
    <t xml:space="preserve">10.5604/01.3001.0054.9079</t>
  </si>
  <si>
    <t xml:space="preserve">Romanchek, Gregory R.</t>
  </si>
  <si>
    <t xml:space="preserve">Investigation of Quantum Entanglement Information for β+γ Coincidences</t>
  </si>
  <si>
    <t xml:space="preserve">Bio-Algorithms and Med-Systems</t>
  </si>
  <si>
    <t xml:space="preserve">10.1140/epjp/s13360-025-06587-4</t>
  </si>
  <si>
    <t xml:space="preserve">Saumiya, S.</t>
  </si>
  <si>
    <t xml:space="preserve">ISAM-QV7Net: an improved segment anything model-2 with the quantum-inspired superposition memory and vision-efficientNetB7 for the advanced liver tumor prognosis</t>
  </si>
  <si>
    <t xml:space="preserve">Eur. Phys. J. Plus</t>
  </si>
  <si>
    <t xml:space="preserve">Quantum-inspired classical method</t>
  </si>
  <si>
    <t xml:space="preserve">quantum-inspired classical method, no quantum computation</t>
  </si>
  <si>
    <t xml:space="preserve">Rule applied to extracted paradigm fields. Subcategory: quantum_inspired. Facets: quantum_inspired.</t>
  </si>
  <si>
    <t xml:space="preserve">10.1007/s10462-024-10932-x</t>
  </si>
  <si>
    <t xml:space="preserve">Yan, Fei</t>
  </si>
  <si>
    <t xml:space="preserve">Review of medical image processing using quantum-enabled algorithms</t>
  </si>
  <si>
    <t xml:space="preserve">Artificial Intelligence Review</t>
  </si>
  <si>
    <t xml:space="preserve">Secondary or review article</t>
  </si>
  <si>
    <t xml:space="preserve">secondary study (review / perspective)</t>
  </si>
  <si>
    <t xml:space="preserve">Rule applied to extracted paradigm fields. Subcategory: review_or_perspective. Facets: review_or_perspective; quantum_image_representation.</t>
  </si>
  <si>
    <t xml:space="preserve">10.1016/j.acra.2026.01.034</t>
  </si>
  <si>
    <t xml:space="preserve">Hadi, Mohiuddin</t>
  </si>
  <si>
    <t xml:space="preserve">An RRA Perspective on Quantum Computing and Blockchain in Radiology: Emerging Paradigms for Data Integrity and Advanced Computation</t>
  </si>
  <si>
    <t xml:space="preserve">Academic Radiology</t>
  </si>
  <si>
    <t xml:space="preserve">Rule applied to extracted paradigm fields. Subcategory: review_or_perspective. Facets: review_or_perspective.</t>
  </si>
  <si>
    <t xml:space="preserve">10.1109/access.2025.3627877</t>
  </si>
  <si>
    <t xml:space="preserve">Aravinda, C. V.</t>
  </si>
  <si>
    <t xml:space="preserve">A Neural Architecture Search-Driven Quantum Patch Attention Framework for Skin Disease Recognition and Classification With XAI Vision Transformers</t>
  </si>
  <si>
    <t xml:space="preserve">IEEE Access</t>
  </si>
  <si>
    <t xml:space="preserve">Decision during critical appraisal</t>
  </si>
  <si>
    <t xml:space="preserve">Full-text re-inspection after the critical appraisal found repeated author statements that no quantum circuit is executed, with the encoder implemented in classical linear algebra (docs/DECISION_N133_access_exclusion.md).</t>
  </si>
  <si>
    <t xml:space="preserve">10.1063/5.0261878</t>
  </si>
  <si>
    <t xml:space="preserve">Hullamballi, Pratham</t>
  </si>
  <si>
    <t xml:space="preserve">Quantum alternating operator ansatz for the preparation and detection of long-lived singlet states in NMR</t>
  </si>
  <si>
    <t xml:space="preserve">The Journal of Chemical Physics</t>
  </si>
  <si>
    <t xml:space="preserve">Individual full-text review</t>
  </si>
  <si>
    <t xml:space="preserve">Instrumentation or physics</t>
  </si>
  <si>
    <t xml:space="preserve">quantum instrumentation / physics, not an imaging application</t>
  </si>
  <si>
    <t xml:space="preserve">NMR singlet preparation/detection; instrumentation/physics, not imaging</t>
  </si>
  <si>
    <t xml:space="preserve">10.1088/1361-6560/ae48aa</t>
  </si>
  <si>
    <t xml:space="preserve">Olivera, Gustavo</t>
  </si>
  <si>
    <t xml:space="preserve">High-Flux Entangled Photon Generation via Clinical Megavoltage Radiotherapy Beams for Quantum Imaging and Theranostics</t>
  </si>
  <si>
    <t xml:space="preserve">Physics in Medicine and Biology</t>
  </si>
  <si>
    <t xml:space="preserve">entangled-photon generation via radiotherapy beams; imaging-instrumentation physics</t>
  </si>
  <si>
    <t xml:space="preserve">10.1007/s42484-022-00090-0</t>
  </si>
  <si>
    <t xml:space="preserve">Magano, Duarte</t>
  </si>
  <si>
    <t xml:space="preserve">Quantum density peak clustering</t>
  </si>
  <si>
    <t xml:space="preserve">Quantum Machine Intelligence</t>
  </si>
  <si>
    <t xml:space="preserve">Method only, no imaging dataset</t>
  </si>
  <si>
    <t xml:space="preserve">no medical-imaging dataset (method demonstration on synthetic / non-imaging data)</t>
  </si>
  <si>
    <t xml:space="preserve">synthetic toy (8 pts) + Forest Cover Type (non-medical tabular); no medical imaging</t>
  </si>
  <si>
    <t xml:space="preserve">10.1088/2058-9565/adbcd1</t>
  </si>
  <si>
    <t xml:space="preserve">Li, Wenxin</t>
  </si>
  <si>
    <t xml:space="preserve">Unified sparse optimization via quantum architectures and hybrid techniques</t>
  </si>
  <si>
    <t xml:space="preserve">Quantum Science and Technology</t>
  </si>
  <si>
    <t xml:space="preserve">generic optimization, dataset not_reported; no medical imaging</t>
  </si>
  <si>
    <t xml:space="preserve">10.1007/s11227-025-07266-y</t>
  </si>
  <si>
    <t xml:space="preserve">Misra, Shreshtha</t>
  </si>
  <si>
    <t xml:space="preserve">QEKLR: quantum-enhanced kernel logistic regression for classification</t>
  </si>
  <si>
    <t xml:space="preserve">Non-imaging medical data</t>
  </si>
  <si>
    <t xml:space="preserve">not a medical-imaging study (non-imaging medical data)</t>
  </si>
  <si>
    <t xml:space="preserve">tabular UCI (Iris/Heart/Ecoli); non-imaging</t>
  </si>
  <si>
    <t xml:space="preserve">10.1007/s11227-025-07939-8</t>
  </si>
  <si>
    <t xml:space="preserve">Jain, Vibha</t>
  </si>
  <si>
    <t xml:space="preserve">Quantum-assisted cardiac diseases diagnosis and prediction using ECG images</t>
  </si>
  <si>
    <t xml:space="preserve">ECG signal; non-imaging modality</t>
  </si>
  <si>
    <t xml:space="preserve">10.1016/j.asoc.2024.111781</t>
  </si>
  <si>
    <t xml:space="preserve">Yu, Jae Yong</t>
  </si>
  <si>
    <t xml:space="preserve">Evaluation of conventional and quantum computing for predicting mortality based on small early-onset colorectal cancer data</t>
  </si>
  <si>
    <t xml:space="preserve">Applied Soft Computing</t>
  </si>
  <si>
    <t xml:space="preserve">cancer-registry tabular mortality features; non-imaging</t>
  </si>
  <si>
    <t xml:space="preserve">10.1016/j.eij.2026.100901</t>
  </si>
  <si>
    <t xml:space="preserve">Tashrif, Md Tanjum An</t>
  </si>
  <si>
    <t xml:space="preserve">Predicting preterm birth with privacy-preserving AI models: Federated learning and explainable AI</t>
  </si>
  <si>
    <t xml:space="preserve">Egyptian Informatics Journal</t>
  </si>
  <si>
    <t xml:space="preserve">EHG (electrohysterography) signal; non-imaging</t>
  </si>
  <si>
    <t xml:space="preserve">10.1049/qtc2.12078</t>
  </si>
  <si>
    <t xml:space="preserve">Sha, Mohemmed</t>
  </si>
  <si>
    <t xml:space="preserve">Quantum intelligence in medicine: Empowering thyroid disease prediction through advanced machine learning</t>
  </si>
  <si>
    <t xml:space="preserve">IET Quantum Communication</t>
  </si>
  <si>
    <t xml:space="preserve">thyroid tabular dataset; non-imaging</t>
  </si>
  <si>
    <t xml:space="preserve">10.1109/jiot.2025.3537614</t>
  </si>
  <si>
    <t xml:space="preserve">Qu, Zhiguo</t>
  </si>
  <si>
    <t xml:space="preserve">DAQFL: Dynamic Aggregation Quantum Federated Learning Algorithm for Intelligent Diagnosis in Internet of Medical Things</t>
  </si>
  <si>
    <t xml:space="preserve">IEEE Internet of Things Journal</t>
  </si>
  <si>
    <t xml:space="preserve">Wisconsin Breast Cancer (FNA cytology image-derived) + Fetal Health (CTG signal); used as tabular benchmarks, no image processing -- image-derived, trio definitional call</t>
  </si>
  <si>
    <t xml:space="preserve">10.1109/tce.2025.3548303</t>
  </si>
  <si>
    <t xml:space="preserve">Ho, Raymond</t>
  </si>
  <si>
    <t xml:space="preserve">EEG-Based Dementia Classification Using CS-EMD Synchrony Features and Quantum Machine Learning</t>
  </si>
  <si>
    <t xml:space="preserve">IEEE Transactions on Consumer Electronics</t>
  </si>
  <si>
    <t xml:space="preserve">EEG signal; non-imaging</t>
  </si>
  <si>
    <t xml:space="preserve">10.1140/epjqt/s40507-026-00500-3</t>
  </si>
  <si>
    <t xml:space="preserve">Dutta, Shivanya Shomir</t>
  </si>
  <si>
    <t xml:space="preserve">DuoQ-EpiNet: a dual-track quantum-classical convolutional neural network for EEG-based epilepsy seizure detection</t>
  </si>
  <si>
    <t xml:space="preserve">EPJ Quantum Technology</t>
  </si>
  <si>
    <t xml:space="preserve">Univ Bonn EEG + CHB-MIT scalp EEG (both signal); non-imaging</t>
  </si>
  <si>
    <t xml:space="preserve">10.3389/frai.2026.1807209</t>
  </si>
  <si>
    <t xml:space="preserve">Alden Jenish, S.</t>
  </si>
  <si>
    <t xml:space="preserve">A quantum-classical dual-track deep learning network for explainable Parkinson's disease classification</t>
  </si>
  <si>
    <t xml:space="preserve">Frontiers in Artificial Intelligence</t>
  </si>
  <si>
    <t xml:space="preserve">Parkinson hand-drawn spiral/meander; drawings, not radiological imaging</t>
  </si>
  <si>
    <t xml:space="preserve">10.1038/s41598-022-25280-5</t>
  </si>
  <si>
    <t xml:space="preserve">Salari, Vahid</t>
  </si>
  <si>
    <t xml:space="preserve">Quantum face recognition protocol with ghost imaging</t>
  </si>
  <si>
    <t xml:space="preserve">Non-medical data</t>
  </si>
  <si>
    <t xml:space="preserve">not a medical-imaging study (non-medical data)</t>
  </si>
  <si>
    <t xml:space="preserve">synthetic faces (thispersondoesnotexist) + 1 coauthor photo; face recognition, non-clinical</t>
  </si>
  <si>
    <t xml:space="preserve">10.1038/s41598-025-24168-4</t>
  </si>
  <si>
    <t xml:space="preserve">Alwan, Nawres A.</t>
  </si>
  <si>
    <t xml:space="preserve">Multilayered quantum computing and simulation system for enhanced image representation of HSI based Fourier transform and adjacency matrix</t>
  </si>
  <si>
    <t xml:space="preserve">USC-SIPI / scikit-image / Test Card F / Ashurbanipal; general image-processing test images, non-medical</t>
  </si>
  <si>
    <t xml:space="preserve">10.1038/s41598-026-51130-9</t>
  </si>
  <si>
    <t xml:space="preserve">Al-Hinai, Mayasa</t>
  </si>
  <si>
    <t xml:space="preserve">Perceptually AMQE-QLDPC coding for quantum image transmission over amplitude-damping channels</t>
  </si>
  <si>
    <t xml:space="preserve">64x64 grayscale test image, image transmission/coding; non-medical</t>
  </si>
  <si>
    <t xml:space="preserve">10.1109/jiot.2025.3586090</t>
  </si>
  <si>
    <t xml:space="preserve">Riaz, Muhammad Zeeshan</t>
  </si>
  <si>
    <t xml:space="preserve">Quantum Machine Learning for Energy-Efficient 5G-Enabled IoMT Healthcare Systems: Enhancing Data Security and Processing</t>
  </si>
  <si>
    <t xml:space="preserve">5G/IoT network telemetry (Lumos5G, WUSTL-EHMS healthcare-IoT, PS-IoT); network data, not medical imaging</t>
  </si>
  <si>
    <t xml:space="preserve">10.1109/tnsre.2024.3385336</t>
  </si>
  <si>
    <t xml:space="preserve">Hossain, Sanoar</t>
  </si>
  <si>
    <t xml:space="preserve">A Deep Quantum Convolutional Neural Network Based Facial Expression Recognition For Mental Health Analysis</t>
  </si>
  <si>
    <t xml:space="preserve">IEEE Transactions on Neural Systems and Rehabilitation Engineering</t>
  </si>
  <si>
    <t xml:space="preserve">KDEF/SFEW/FER facial-expression image sets; non-clinical faces (affect recognition)</t>
  </si>
  <si>
    <t xml:space="preserve">10.1155/acis/1176614</t>
  </si>
  <si>
    <t xml:space="preserve">R., Venkat</t>
  </si>
  <si>
    <t xml:space="preserve">Adversarial Attack Detection in Federated Learning Using Quantum Recurrent Neural Network</t>
  </si>
  <si>
    <t xml:space="preserve">Applied Computational Intelligence and Soft Computing</t>
  </si>
  <si>
    <t xml:space="preserve">Mirai/N-BaIoT IoT-botnet network data; non-medical</t>
  </si>
  <si>
    <t xml:space="preserve">10.18280/ts.420531</t>
  </si>
  <si>
    <t xml:space="preserve">Elaraby, Ahmed</t>
  </si>
  <si>
    <t xml:space="preserve">Quantum Edge Detection in Digital Imaging: A Novel Approach Using Quantum Exponential Entropy</t>
  </si>
  <si>
    <t xml:space="preserve">Traitement du Signal</t>
  </si>
  <si>
    <t xml:space="preserve">mixed benchmark: natural + aerial + medical images; general FRQI edge-detection, medical use incidental -- protocol §5.3 open decision</t>
  </si>
  <si>
    <t xml:space="preserve">10.3390/biom12111576</t>
  </si>
  <si>
    <t xml:space="preserve">Kim, Jonathan</t>
  </si>
  <si>
    <t xml:space="preserve">Generalization Performance of Quantum Metric Learning Classifiers</t>
  </si>
  <si>
    <t xml:space="preserve">Biomolecules</t>
  </si>
  <si>
    <t xml:space="preserve">ImageNet ants/bees (non-medical images) + Wisconsin Breast Cancer (FNA cytology-derived, but tabular); primary image dataset is non-medical -&gt; excludable regardless</t>
  </si>
  <si>
    <t xml:space="preserve">10.3934/math.2025499</t>
  </si>
  <si>
    <t xml:space="preserve">A multi-channel quantum image representation model with qubit sequences for quantum-inspired image and image retrieval</t>
  </si>
  <si>
    <t xml:space="preserve">AIMS Mathematics</t>
  </si>
  <si>
    <t xml:space="preserve">single non-medical demonstration image (Ashurbanipal); quantum image-rep method</t>
  </si>
  <si>
    <t xml:space="preserve">10.1007/s11227-025-07789-4</t>
  </si>
  <si>
    <t xml:space="preserve">ElBedoui, Khaoula</t>
  </si>
  <si>
    <t xml:space="preserve">Medical image analysis: a systematization of knowledge on the convergence of AI and quantum computing</t>
  </si>
  <si>
    <t xml:space="preserve">SoK / survey; no primary dataset</t>
  </si>
  <si>
    <t xml:space="preserve">10.1016/j.ejca.2025.115632</t>
  </si>
  <si>
    <t xml:space="preserve">Matarèse, Bruno F.E.</t>
  </si>
  <si>
    <t xml:space="preserve">Unlocking clinical quantum oncology through quantum control</t>
  </si>
  <si>
    <t xml:space="preserve">European Journal of Cancer</t>
  </si>
  <si>
    <t xml:space="preserve">secondary/review</t>
  </si>
  <si>
    <t xml:space="preserve">Journal-labelled 'Current Perspective'; no implementation. Abstract entirely conditional; no dataset/results/circuits; Eur J Cancer 226(2025)115632</t>
  </si>
  <si>
    <t xml:space="preserve">10.1016/j.neucom.2023.01.049</t>
  </si>
  <si>
    <t xml:space="preserve">Wei, Lin</t>
  </si>
  <si>
    <t xml:space="preserve">Quantum machine learning in medical image analysis: A survey</t>
  </si>
  <si>
    <t xml:space="preserve">Neurocomputing</t>
  </si>
  <si>
    <t xml:space="preserve">title = 'A survey'; no dataset</t>
  </si>
  <si>
    <t xml:space="preserve">10.1016/j.patter.2025.101236</t>
  </si>
  <si>
    <t xml:space="preserve">Flöther, Frederik F.</t>
  </si>
  <si>
    <t xml:space="preserve">How quantum computing can enhance biomarker discovery</t>
  </si>
  <si>
    <t xml:space="preserve">Patterns</t>
  </si>
  <si>
    <t xml:space="preserve">reads as perspective; task=other, no dataset [GUESS: confirm in abstract]</t>
  </si>
  <si>
    <t xml:space="preserve">10.1038/s41585-025-01058-y</t>
  </si>
  <si>
    <t xml:space="preserve">Khanna, Raghav</t>
  </si>
  <si>
    <t xml:space="preserve">Quantum computing in surgery and urology — taking a quantum leap</t>
  </si>
  <si>
    <t xml:space="preserve">Nature Reviews Urology</t>
  </si>
  <si>
    <t xml:space="preserve">reads as perspective ('quantum leap'); task=other, no dataset [GUESS]</t>
  </si>
  <si>
    <t xml:space="preserve">10.1109/access.2022.3195044</t>
  </si>
  <si>
    <t xml:space="preserve">Maheshwari, Danyal</t>
  </si>
  <si>
    <t xml:space="preserve">Quantum Machine Learning Applications in the Biomedical Domain: A Systematic Review</t>
  </si>
  <si>
    <t xml:space="preserve">title = 'A Systematic Review'</t>
  </si>
  <si>
    <t xml:space="preserve">10.1177/15330338231215214</t>
  </si>
  <si>
    <t xml:space="preserve">Rahimi, Milad</t>
  </si>
  <si>
    <t xml:space="preserve">Oncological Applications of Quantum Machine Learning</t>
  </si>
  <si>
    <t xml:space="preserve">Technology in Cancer Research &amp; Treatment</t>
  </si>
  <si>
    <t xml:space="preserve">reads as review; task=other, no dataset [GUESS]</t>
  </si>
  <si>
    <t xml:space="preserve">10.3390/medsci12040067</t>
  </si>
  <si>
    <t xml:space="preserve">Chow, James C. L.</t>
  </si>
  <si>
    <t xml:space="preserve">Quantum Computing in Medicine</t>
  </si>
  <si>
    <t xml:space="preserve">Medical Sciences</t>
  </si>
  <si>
    <t xml:space="preserve">reads as overview; task=other, no dataset [GUESS]</t>
  </si>
  <si>
    <t xml:space="preserve">10.7759/cureus.67486</t>
  </si>
  <si>
    <t xml:space="preserve">Jeyaraman, Naveen</t>
  </si>
  <si>
    <t xml:space="preserve">Revolutionizing Healthcare: The Emerging Role of Quantum Computing in Enhancing Medical Technology and Treatment</t>
  </si>
  <si>
    <t xml:space="preserve">Cureus</t>
  </si>
  <si>
    <t xml:space="preserve">Supplementary Table S2. Reports excluded at full text (N = 48), with reason, exclusion route and recorded basis</t>
  </si>
  <si>
    <t xml:space="preserve">Quantum Computing for Medical Imaging Applications: A PRISMA-Compliant Systematic Review (IEEE TRPMS).</t>
  </si>
  <si>
    <t xml:space="preserve">Contents</t>
  </si>
  <si>
    <t xml:space="preserve">Sheet "S2_fulltext_exclusions": one row per excluded report, grouped by exclusion route and reason.</t>
  </si>
  <si>
    <t xml:space="preserve">Sheet "Checks": counts computed by formula from S2 and compared with Section III-A of the manuscript.</t>
  </si>
  <si>
    <t xml:space="preserve">Exclusion routes (Section II-D)</t>
  </si>
  <si>
    <t xml:space="preserve">Automated paradigm and scope rule (16): a deterministic rule applied to the extracted quantum-method and scope fields. Source: 4-FullTextExtraction/extract_v1/excluded_fulltext.csv.</t>
  </si>
  <si>
    <t xml:space="preserve">Individual full-text review (31): reports re-read against the full text and decided individually, each decision confirmed by the corresponding author. Source: 5-Adjudication/manual_fulltext_exclusions_v47.csv (basis and evidence columns).</t>
  </si>
  <si>
    <t xml:space="preserve">Decision during critical appraisal (1): excluded after the critical appraisal of the quality-fit subset. Source: docs/DECISION_N133_access_exclusion.md.</t>
  </si>
  <si>
    <t xml:space="preserve">All sources are in the public repository https://github.com/lpapp-muw/qc-medimaging-review. Titles and journals come from the full-text extraction workbook, and years from the co-author extraction.</t>
  </si>
  <si>
    <t xml:space="preserve">"Reason as recorded" is the exclusion reason exactly as stored. "Reason (consolidated)" groups it into the nine categories reported in Section III-A. "Recorded note" is the note stored with each decision: the rule inputs for the automated route, and the reviewer note for the individual reviews.</t>
  </si>
  <si>
    <t xml:space="preserve">Quantity</t>
  </si>
  <si>
    <t xml:space="preserve">Column</t>
  </si>
  <si>
    <t xml:space="preserve">Value counted</t>
  </si>
  <si>
    <t xml:space="preserve">Count in this table</t>
  </si>
  <si>
    <t xml:space="preserve">Value in the manuscript</t>
  </si>
  <si>
    <t xml:space="preserve">Match</t>
  </si>
  <si>
    <t xml:space="preserve">Excluded at full text</t>
  </si>
  <si>
    <t xml:space="preserve">(rows)</t>
  </si>
  <si>
    <t xml:space="preserve">Automated rule</t>
  </si>
  <si>
    <t xml:space="preserve">Individual review</t>
  </si>
  <si>
    <t xml:space="preserve">Critical appraisal</t>
  </si>
  <si>
    <t xml:space="preserve">Secondary or review</t>
  </si>
  <si>
    <t xml:space="preserve">Method only</t>
  </si>
  <si>
    <t xml:space="preserve">Quantum-inspired classical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</si>
</sst>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4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2.35" hidden="false" customHeight="false" outlineLevel="0" collapsed="false">
      <c r="A2" s="2" t="n">
        <v>1</v>
      </c>
      <c r="B2" s="2" t="s">
        <v>10</v>
      </c>
      <c r="C2" s="2" t="s">
        <v>11</v>
      </c>
      <c r="D2" s="2" t="n">
        <v>2025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</row>
    <row r="3" customFormat="false" ht="22.35" hidden="false" customHeight="false" outlineLevel="0" collapsed="false">
      <c r="A3" s="2" t="n">
        <v>2</v>
      </c>
      <c r="B3" s="2" t="s">
        <v>18</v>
      </c>
      <c r="C3" s="2" t="s">
        <v>19</v>
      </c>
      <c r="D3" s="2" t="n">
        <v>2025</v>
      </c>
      <c r="E3" s="2" t="s">
        <v>20</v>
      </c>
      <c r="F3" s="2" t="s">
        <v>21</v>
      </c>
      <c r="G3" s="2" t="s">
        <v>14</v>
      </c>
      <c r="H3" s="2" t="s">
        <v>15</v>
      </c>
      <c r="I3" s="2" t="s">
        <v>16</v>
      </c>
      <c r="J3" s="2" t="s">
        <v>22</v>
      </c>
    </row>
    <row r="4" customFormat="false" ht="22.35" hidden="false" customHeight="false" outlineLevel="0" collapsed="false">
      <c r="A4" s="2" t="n">
        <v>3</v>
      </c>
      <c r="B4" s="2" t="s">
        <v>23</v>
      </c>
      <c r="C4" s="2" t="s">
        <v>24</v>
      </c>
      <c r="D4" s="2" t="n">
        <v>2024</v>
      </c>
      <c r="E4" s="2" t="s">
        <v>25</v>
      </c>
      <c r="F4" s="2" t="s">
        <v>26</v>
      </c>
      <c r="G4" s="2" t="s">
        <v>14</v>
      </c>
      <c r="H4" s="2" t="s">
        <v>27</v>
      </c>
      <c r="I4" s="2" t="s">
        <v>28</v>
      </c>
      <c r="J4" s="2" t="s">
        <v>29</v>
      </c>
    </row>
    <row r="5" customFormat="false" ht="22.35" hidden="false" customHeight="false" outlineLevel="0" collapsed="false">
      <c r="A5" s="2" t="n">
        <v>4</v>
      </c>
      <c r="B5" s="2" t="s">
        <v>30</v>
      </c>
      <c r="C5" s="2" t="s">
        <v>31</v>
      </c>
      <c r="D5" s="2" t="n">
        <v>2026</v>
      </c>
      <c r="E5" s="2" t="s">
        <v>32</v>
      </c>
      <c r="F5" s="2" t="s">
        <v>33</v>
      </c>
      <c r="G5" s="2" t="s">
        <v>14</v>
      </c>
      <c r="H5" s="2" t="s">
        <v>34</v>
      </c>
      <c r="I5" s="2" t="s">
        <v>35</v>
      </c>
      <c r="J5" s="2" t="s">
        <v>36</v>
      </c>
    </row>
    <row r="6" customFormat="false" ht="22.35" hidden="false" customHeight="false" outlineLevel="0" collapsed="false">
      <c r="A6" s="2" t="n">
        <v>5</v>
      </c>
      <c r="B6" s="2" t="s">
        <v>37</v>
      </c>
      <c r="C6" s="2" t="s">
        <v>38</v>
      </c>
      <c r="D6" s="2" t="n">
        <v>2021</v>
      </c>
      <c r="E6" s="2" t="s">
        <v>39</v>
      </c>
      <c r="F6" s="2" t="s">
        <v>40</v>
      </c>
      <c r="G6" s="2" t="s">
        <v>14</v>
      </c>
      <c r="H6" s="2" t="s">
        <v>34</v>
      </c>
      <c r="I6" s="2" t="s">
        <v>35</v>
      </c>
      <c r="J6" s="2" t="s">
        <v>36</v>
      </c>
    </row>
    <row r="7" customFormat="false" ht="22.35" hidden="false" customHeight="false" outlineLevel="0" collapsed="false">
      <c r="A7" s="2" t="n">
        <v>6</v>
      </c>
      <c r="B7" s="2" t="s">
        <v>41</v>
      </c>
      <c r="C7" s="2" t="s">
        <v>42</v>
      </c>
      <c r="D7" s="2" t="n">
        <v>2024</v>
      </c>
      <c r="E7" s="2" t="s">
        <v>43</v>
      </c>
      <c r="F7" s="2" t="s">
        <v>44</v>
      </c>
      <c r="G7" s="2" t="s">
        <v>14</v>
      </c>
      <c r="H7" s="2" t="s">
        <v>34</v>
      </c>
      <c r="I7" s="2" t="s">
        <v>35</v>
      </c>
      <c r="J7" s="2" t="s">
        <v>36</v>
      </c>
    </row>
    <row r="8" customFormat="false" ht="32.8" hidden="false" customHeight="false" outlineLevel="0" collapsed="false">
      <c r="A8" s="2" t="n">
        <v>7</v>
      </c>
      <c r="B8" s="2" t="s">
        <v>45</v>
      </c>
      <c r="C8" s="2" t="s">
        <v>46</v>
      </c>
      <c r="D8" s="2" t="n">
        <v>2025</v>
      </c>
      <c r="E8" s="2" t="s">
        <v>47</v>
      </c>
      <c r="F8" s="2" t="s">
        <v>44</v>
      </c>
      <c r="G8" s="2" t="s">
        <v>14</v>
      </c>
      <c r="H8" s="2" t="s">
        <v>34</v>
      </c>
      <c r="I8" s="2" t="s">
        <v>35</v>
      </c>
      <c r="J8" s="2" t="s">
        <v>36</v>
      </c>
    </row>
    <row r="9" customFormat="false" ht="22.35" hidden="false" customHeight="false" outlineLevel="0" collapsed="false">
      <c r="A9" s="2" t="n">
        <v>8</v>
      </c>
      <c r="B9" s="2" t="s">
        <v>48</v>
      </c>
      <c r="C9" s="2" t="s">
        <v>49</v>
      </c>
      <c r="D9" s="2" t="n">
        <v>2023</v>
      </c>
      <c r="E9" s="2" t="s">
        <v>50</v>
      </c>
      <c r="F9" s="2" t="s">
        <v>51</v>
      </c>
      <c r="G9" s="2" t="s">
        <v>14</v>
      </c>
      <c r="H9" s="2" t="s">
        <v>34</v>
      </c>
      <c r="I9" s="2" t="s">
        <v>35</v>
      </c>
      <c r="J9" s="2" t="s">
        <v>36</v>
      </c>
    </row>
    <row r="10" customFormat="false" ht="22.35" hidden="false" customHeight="false" outlineLevel="0" collapsed="false">
      <c r="A10" s="2" t="n">
        <v>9</v>
      </c>
      <c r="B10" s="2" t="s">
        <v>52</v>
      </c>
      <c r="C10" s="2" t="s">
        <v>53</v>
      </c>
      <c r="D10" s="2" t="n">
        <v>2025</v>
      </c>
      <c r="E10" s="2" t="s">
        <v>54</v>
      </c>
      <c r="F10" s="2" t="s">
        <v>55</v>
      </c>
      <c r="G10" s="2" t="s">
        <v>14</v>
      </c>
      <c r="H10" s="2" t="s">
        <v>34</v>
      </c>
      <c r="I10" s="2" t="s">
        <v>35</v>
      </c>
      <c r="J10" s="2" t="s">
        <v>56</v>
      </c>
    </row>
    <row r="11" customFormat="false" ht="22.35" hidden="false" customHeight="false" outlineLevel="0" collapsed="false">
      <c r="A11" s="2" t="n">
        <v>10</v>
      </c>
      <c r="B11" s="2" t="s">
        <v>57</v>
      </c>
      <c r="C11" s="2" t="s">
        <v>58</v>
      </c>
      <c r="D11" s="2" t="n">
        <v>2022</v>
      </c>
      <c r="E11" s="2" t="s">
        <v>59</v>
      </c>
      <c r="F11" s="2" t="s">
        <v>60</v>
      </c>
      <c r="G11" s="2" t="s">
        <v>14</v>
      </c>
      <c r="H11" s="2" t="s">
        <v>34</v>
      </c>
      <c r="I11" s="2" t="s">
        <v>35</v>
      </c>
      <c r="J11" s="2" t="s">
        <v>56</v>
      </c>
    </row>
    <row r="12" customFormat="false" ht="22.35" hidden="false" customHeight="false" outlineLevel="0" collapsed="false">
      <c r="A12" s="2" t="n">
        <v>11</v>
      </c>
      <c r="B12" s="2" t="s">
        <v>61</v>
      </c>
      <c r="C12" s="2" t="s">
        <v>62</v>
      </c>
      <c r="D12" s="2" t="n">
        <v>2024</v>
      </c>
      <c r="E12" s="2" t="s">
        <v>63</v>
      </c>
      <c r="F12" s="2" t="s">
        <v>60</v>
      </c>
      <c r="G12" s="2" t="s">
        <v>14</v>
      </c>
      <c r="H12" s="2" t="s">
        <v>34</v>
      </c>
      <c r="I12" s="2" t="s">
        <v>35</v>
      </c>
      <c r="J12" s="2" t="s">
        <v>56</v>
      </c>
    </row>
    <row r="13" customFormat="false" ht="22.35" hidden="false" customHeight="false" outlineLevel="0" collapsed="false">
      <c r="A13" s="2" t="n">
        <v>12</v>
      </c>
      <c r="B13" s="2" t="s">
        <v>64</v>
      </c>
      <c r="C13" s="2" t="s">
        <v>65</v>
      </c>
      <c r="D13" s="2" t="n">
        <v>2024</v>
      </c>
      <c r="E13" s="2" t="s">
        <v>66</v>
      </c>
      <c r="F13" s="2" t="s">
        <v>67</v>
      </c>
      <c r="G13" s="2" t="s">
        <v>14</v>
      </c>
      <c r="H13" s="2" t="s">
        <v>34</v>
      </c>
      <c r="I13" s="2" t="s">
        <v>35</v>
      </c>
      <c r="J13" s="2" t="s">
        <v>36</v>
      </c>
    </row>
    <row r="14" customFormat="false" ht="22.35" hidden="false" customHeight="false" outlineLevel="0" collapsed="false">
      <c r="A14" s="2" t="n">
        <v>13</v>
      </c>
      <c r="B14" s="2" t="s">
        <v>68</v>
      </c>
      <c r="C14" s="2" t="s">
        <v>69</v>
      </c>
      <c r="D14" s="2" t="n">
        <v>2024</v>
      </c>
      <c r="E14" s="2" t="s">
        <v>70</v>
      </c>
      <c r="F14" s="2" t="s">
        <v>71</v>
      </c>
      <c r="G14" s="2" t="s">
        <v>14</v>
      </c>
      <c r="H14" s="2" t="s">
        <v>34</v>
      </c>
      <c r="I14" s="2" t="s">
        <v>35</v>
      </c>
      <c r="J14" s="2" t="s">
        <v>36</v>
      </c>
    </row>
    <row r="15" customFormat="false" ht="32.8" hidden="false" customHeight="false" outlineLevel="0" collapsed="false">
      <c r="A15" s="2" t="n">
        <v>14</v>
      </c>
      <c r="B15" s="2" t="s">
        <v>72</v>
      </c>
      <c r="C15" s="2" t="s">
        <v>73</v>
      </c>
      <c r="D15" s="2" t="n">
        <v>2025</v>
      </c>
      <c r="E15" s="2" t="s">
        <v>74</v>
      </c>
      <c r="F15" s="2" t="s">
        <v>75</v>
      </c>
      <c r="G15" s="2" t="s">
        <v>14</v>
      </c>
      <c r="H15" s="2" t="s">
        <v>76</v>
      </c>
      <c r="I15" s="2" t="s">
        <v>77</v>
      </c>
      <c r="J15" s="2" t="s">
        <v>78</v>
      </c>
    </row>
    <row r="16" customFormat="false" ht="22.35" hidden="false" customHeight="false" outlineLevel="0" collapsed="false">
      <c r="A16" s="2" t="n">
        <v>15</v>
      </c>
      <c r="B16" s="2" t="s">
        <v>79</v>
      </c>
      <c r="C16" s="2" t="s">
        <v>80</v>
      </c>
      <c r="D16" s="2" t="n">
        <v>2024</v>
      </c>
      <c r="E16" s="2" t="s">
        <v>81</v>
      </c>
      <c r="F16" s="2" t="s">
        <v>82</v>
      </c>
      <c r="G16" s="2" t="s">
        <v>14</v>
      </c>
      <c r="H16" s="2" t="s">
        <v>83</v>
      </c>
      <c r="I16" s="2" t="s">
        <v>84</v>
      </c>
      <c r="J16" s="2" t="s">
        <v>85</v>
      </c>
    </row>
    <row r="17" customFormat="false" ht="22.35" hidden="false" customHeight="false" outlineLevel="0" collapsed="false">
      <c r="A17" s="2" t="n">
        <v>16</v>
      </c>
      <c r="B17" s="2" t="s">
        <v>86</v>
      </c>
      <c r="C17" s="2" t="s">
        <v>87</v>
      </c>
      <c r="D17" s="2" t="n">
        <v>2026</v>
      </c>
      <c r="E17" s="2" t="s">
        <v>88</v>
      </c>
      <c r="F17" s="2" t="s">
        <v>89</v>
      </c>
      <c r="G17" s="2" t="s">
        <v>14</v>
      </c>
      <c r="H17" s="2" t="s">
        <v>83</v>
      </c>
      <c r="I17" s="2" t="s">
        <v>84</v>
      </c>
      <c r="J17" s="2" t="s">
        <v>90</v>
      </c>
    </row>
    <row r="18" customFormat="false" ht="32.8" hidden="false" customHeight="false" outlineLevel="0" collapsed="false">
      <c r="A18" s="2" t="n">
        <v>17</v>
      </c>
      <c r="B18" s="2" t="s">
        <v>91</v>
      </c>
      <c r="C18" s="2" t="s">
        <v>92</v>
      </c>
      <c r="D18" s="2" t="n">
        <v>2025</v>
      </c>
      <c r="E18" s="2" t="s">
        <v>93</v>
      </c>
      <c r="F18" s="2" t="s">
        <v>94</v>
      </c>
      <c r="G18" s="2" t="s">
        <v>95</v>
      </c>
      <c r="H18" s="2" t="s">
        <v>76</v>
      </c>
      <c r="I18" s="2" t="s">
        <v>77</v>
      </c>
      <c r="J18" s="2" t="s">
        <v>96</v>
      </c>
    </row>
    <row r="19" customFormat="false" ht="22.35" hidden="false" customHeight="false" outlineLevel="0" collapsed="false">
      <c r="A19" s="2" t="n">
        <v>18</v>
      </c>
      <c r="B19" s="2" t="s">
        <v>97</v>
      </c>
      <c r="C19" s="2" t="s">
        <v>98</v>
      </c>
      <c r="D19" s="2" t="n">
        <v>2025</v>
      </c>
      <c r="E19" s="2" t="s">
        <v>99</v>
      </c>
      <c r="F19" s="2" t="s">
        <v>100</v>
      </c>
      <c r="G19" s="2" t="s">
        <v>101</v>
      </c>
      <c r="H19" s="2" t="s">
        <v>102</v>
      </c>
      <c r="I19" s="2" t="s">
        <v>103</v>
      </c>
      <c r="J19" s="2" t="s">
        <v>104</v>
      </c>
    </row>
    <row r="20" customFormat="false" ht="22.35" hidden="false" customHeight="false" outlineLevel="0" collapsed="false">
      <c r="A20" s="2" t="n">
        <v>19</v>
      </c>
      <c r="B20" s="2" t="s">
        <v>105</v>
      </c>
      <c r="C20" s="2" t="s">
        <v>106</v>
      </c>
      <c r="D20" s="2" t="n">
        <v>2026</v>
      </c>
      <c r="E20" s="2" t="s">
        <v>107</v>
      </c>
      <c r="F20" s="2" t="s">
        <v>108</v>
      </c>
      <c r="G20" s="2" t="s">
        <v>101</v>
      </c>
      <c r="H20" s="2" t="s">
        <v>102</v>
      </c>
      <c r="I20" s="2" t="s">
        <v>103</v>
      </c>
      <c r="J20" s="2" t="s">
        <v>109</v>
      </c>
    </row>
    <row r="21" customFormat="false" ht="22.35" hidden="false" customHeight="false" outlineLevel="0" collapsed="false">
      <c r="A21" s="2" t="n">
        <v>20</v>
      </c>
      <c r="B21" s="2" t="s">
        <v>110</v>
      </c>
      <c r="C21" s="2" t="s">
        <v>111</v>
      </c>
      <c r="D21" s="2" t="n">
        <v>2023</v>
      </c>
      <c r="E21" s="2" t="s">
        <v>112</v>
      </c>
      <c r="F21" s="2" t="s">
        <v>113</v>
      </c>
      <c r="G21" s="2" t="s">
        <v>101</v>
      </c>
      <c r="H21" s="2" t="s">
        <v>114</v>
      </c>
      <c r="I21" s="2" t="s">
        <v>115</v>
      </c>
      <c r="J21" s="2" t="s">
        <v>116</v>
      </c>
    </row>
    <row r="22" customFormat="false" ht="22.35" hidden="false" customHeight="false" outlineLevel="0" collapsed="false">
      <c r="A22" s="2" t="n">
        <v>21</v>
      </c>
      <c r="B22" s="2" t="s">
        <v>117</v>
      </c>
      <c r="C22" s="2" t="s">
        <v>118</v>
      </c>
      <c r="D22" s="2" t="n">
        <v>2025</v>
      </c>
      <c r="E22" s="2" t="s">
        <v>119</v>
      </c>
      <c r="F22" s="2" t="s">
        <v>120</v>
      </c>
      <c r="G22" s="2" t="s">
        <v>101</v>
      </c>
      <c r="H22" s="2" t="s">
        <v>114</v>
      </c>
      <c r="I22" s="2" t="s">
        <v>115</v>
      </c>
      <c r="J22" s="2" t="s">
        <v>121</v>
      </c>
    </row>
    <row r="23" customFormat="false" ht="22.35" hidden="false" customHeight="false" outlineLevel="0" collapsed="false">
      <c r="A23" s="2" t="n">
        <v>22</v>
      </c>
      <c r="B23" s="2" t="s">
        <v>122</v>
      </c>
      <c r="C23" s="2" t="s">
        <v>123</v>
      </c>
      <c r="D23" s="2" t="n">
        <v>2025</v>
      </c>
      <c r="E23" s="2" t="s">
        <v>124</v>
      </c>
      <c r="F23" s="2" t="s">
        <v>21</v>
      </c>
      <c r="G23" s="2" t="s">
        <v>101</v>
      </c>
      <c r="H23" s="2" t="s">
        <v>125</v>
      </c>
      <c r="I23" s="2" t="s">
        <v>126</v>
      </c>
      <c r="J23" s="2" t="s">
        <v>127</v>
      </c>
    </row>
    <row r="24" customFormat="false" ht="22.35" hidden="false" customHeight="false" outlineLevel="0" collapsed="false">
      <c r="A24" s="2" t="n">
        <v>23</v>
      </c>
      <c r="B24" s="2" t="s">
        <v>128</v>
      </c>
      <c r="C24" s="2" t="s">
        <v>129</v>
      </c>
      <c r="D24" s="2" t="n">
        <v>2025</v>
      </c>
      <c r="E24" s="2" t="s">
        <v>130</v>
      </c>
      <c r="F24" s="2" t="s">
        <v>21</v>
      </c>
      <c r="G24" s="2" t="s">
        <v>101</v>
      </c>
      <c r="H24" s="2" t="s">
        <v>125</v>
      </c>
      <c r="I24" s="2" t="s">
        <v>126</v>
      </c>
      <c r="J24" s="2" t="s">
        <v>131</v>
      </c>
    </row>
    <row r="25" customFormat="false" ht="22.35" hidden="false" customHeight="false" outlineLevel="0" collapsed="false">
      <c r="A25" s="2" t="n">
        <v>24</v>
      </c>
      <c r="B25" s="2" t="s">
        <v>132</v>
      </c>
      <c r="C25" s="2" t="s">
        <v>133</v>
      </c>
      <c r="D25" s="2" t="n">
        <v>2024</v>
      </c>
      <c r="E25" s="2" t="s">
        <v>134</v>
      </c>
      <c r="F25" s="2" t="s">
        <v>135</v>
      </c>
      <c r="G25" s="2" t="s">
        <v>101</v>
      </c>
      <c r="H25" s="2" t="s">
        <v>125</v>
      </c>
      <c r="I25" s="2" t="s">
        <v>126</v>
      </c>
      <c r="J25" s="2" t="s">
        <v>136</v>
      </c>
    </row>
    <row r="26" customFormat="false" ht="22.35" hidden="false" customHeight="false" outlineLevel="0" collapsed="false">
      <c r="A26" s="2" t="n">
        <v>25</v>
      </c>
      <c r="B26" s="2" t="s">
        <v>137</v>
      </c>
      <c r="C26" s="2" t="s">
        <v>138</v>
      </c>
      <c r="D26" s="2" t="n">
        <v>2026</v>
      </c>
      <c r="E26" s="2" t="s">
        <v>139</v>
      </c>
      <c r="F26" s="2" t="s">
        <v>140</v>
      </c>
      <c r="G26" s="2" t="s">
        <v>101</v>
      </c>
      <c r="H26" s="2" t="s">
        <v>125</v>
      </c>
      <c r="I26" s="2" t="s">
        <v>126</v>
      </c>
      <c r="J26" s="2" t="s">
        <v>141</v>
      </c>
    </row>
    <row r="27" customFormat="false" ht="22.35" hidden="false" customHeight="false" outlineLevel="0" collapsed="false">
      <c r="A27" s="2" t="n">
        <v>26</v>
      </c>
      <c r="B27" s="2" t="s">
        <v>142</v>
      </c>
      <c r="C27" s="2" t="s">
        <v>143</v>
      </c>
      <c r="D27" s="2" t="n">
        <v>2024</v>
      </c>
      <c r="E27" s="2" t="s">
        <v>144</v>
      </c>
      <c r="F27" s="2" t="s">
        <v>145</v>
      </c>
      <c r="G27" s="2" t="s">
        <v>101</v>
      </c>
      <c r="H27" s="2" t="s">
        <v>125</v>
      </c>
      <c r="I27" s="2" t="s">
        <v>126</v>
      </c>
      <c r="J27" s="2" t="s">
        <v>146</v>
      </c>
    </row>
    <row r="28" customFormat="false" ht="22.35" hidden="false" customHeight="false" outlineLevel="0" collapsed="false">
      <c r="A28" s="2" t="n">
        <v>27</v>
      </c>
      <c r="B28" s="2" t="s">
        <v>147</v>
      </c>
      <c r="C28" s="2" t="s">
        <v>148</v>
      </c>
      <c r="D28" s="2" t="n">
        <v>2025</v>
      </c>
      <c r="E28" s="2" t="s">
        <v>149</v>
      </c>
      <c r="F28" s="2" t="s">
        <v>150</v>
      </c>
      <c r="G28" s="2" t="s">
        <v>101</v>
      </c>
      <c r="H28" s="2" t="s">
        <v>125</v>
      </c>
      <c r="I28" s="2" t="s">
        <v>126</v>
      </c>
      <c r="J28" s="2" t="s">
        <v>151</v>
      </c>
    </row>
    <row r="29" customFormat="false" ht="22.35" hidden="false" customHeight="false" outlineLevel="0" collapsed="false">
      <c r="A29" s="2" t="n">
        <v>28</v>
      </c>
      <c r="B29" s="2" t="s">
        <v>152</v>
      </c>
      <c r="C29" s="2" t="s">
        <v>153</v>
      </c>
      <c r="D29" s="2" t="n">
        <v>2025</v>
      </c>
      <c r="E29" s="2" t="s">
        <v>154</v>
      </c>
      <c r="F29" s="2" t="s">
        <v>155</v>
      </c>
      <c r="G29" s="2" t="s">
        <v>101</v>
      </c>
      <c r="H29" s="2" t="s">
        <v>125</v>
      </c>
      <c r="I29" s="2" t="s">
        <v>126</v>
      </c>
      <c r="J29" s="2" t="s">
        <v>156</v>
      </c>
    </row>
    <row r="30" customFormat="false" ht="22.35" hidden="false" customHeight="false" outlineLevel="0" collapsed="false">
      <c r="A30" s="2" t="n">
        <v>29</v>
      </c>
      <c r="B30" s="2" t="s">
        <v>157</v>
      </c>
      <c r="C30" s="2" t="s">
        <v>158</v>
      </c>
      <c r="D30" s="2" t="n">
        <v>2026</v>
      </c>
      <c r="E30" s="2" t="s">
        <v>159</v>
      </c>
      <c r="F30" s="2" t="s">
        <v>160</v>
      </c>
      <c r="G30" s="2" t="s">
        <v>101</v>
      </c>
      <c r="H30" s="2" t="s">
        <v>125</v>
      </c>
      <c r="I30" s="2" t="s">
        <v>126</v>
      </c>
      <c r="J30" s="2" t="s">
        <v>161</v>
      </c>
    </row>
    <row r="31" customFormat="false" ht="22.35" hidden="false" customHeight="false" outlineLevel="0" collapsed="false">
      <c r="A31" s="2" t="n">
        <v>30</v>
      </c>
      <c r="B31" s="2" t="s">
        <v>162</v>
      </c>
      <c r="C31" s="2" t="s">
        <v>163</v>
      </c>
      <c r="D31" s="2" t="n">
        <v>2026</v>
      </c>
      <c r="E31" s="2" t="s">
        <v>164</v>
      </c>
      <c r="F31" s="2" t="s">
        <v>165</v>
      </c>
      <c r="G31" s="2" t="s">
        <v>101</v>
      </c>
      <c r="H31" s="2" t="s">
        <v>125</v>
      </c>
      <c r="I31" s="2" t="s">
        <v>126</v>
      </c>
      <c r="J31" s="2" t="s">
        <v>166</v>
      </c>
    </row>
    <row r="32" customFormat="false" ht="15" hidden="false" customHeight="false" outlineLevel="0" collapsed="false">
      <c r="A32" s="2" t="n">
        <v>31</v>
      </c>
      <c r="B32" s="2" t="s">
        <v>167</v>
      </c>
      <c r="C32" s="2" t="s">
        <v>168</v>
      </c>
      <c r="D32" s="2" t="n">
        <v>2023</v>
      </c>
      <c r="E32" s="2" t="s">
        <v>169</v>
      </c>
      <c r="F32" s="2" t="s">
        <v>44</v>
      </c>
      <c r="G32" s="2" t="s">
        <v>101</v>
      </c>
      <c r="H32" s="2" t="s">
        <v>170</v>
      </c>
      <c r="I32" s="2" t="s">
        <v>171</v>
      </c>
      <c r="J32" s="2" t="s">
        <v>172</v>
      </c>
    </row>
    <row r="33" customFormat="false" ht="22.35" hidden="false" customHeight="false" outlineLevel="0" collapsed="false">
      <c r="A33" s="2" t="n">
        <v>32</v>
      </c>
      <c r="B33" s="2" t="s">
        <v>173</v>
      </c>
      <c r="C33" s="2" t="s">
        <v>174</v>
      </c>
      <c r="D33" s="2" t="n">
        <v>2025</v>
      </c>
      <c r="E33" s="2" t="s">
        <v>175</v>
      </c>
      <c r="F33" s="2" t="s">
        <v>44</v>
      </c>
      <c r="G33" s="2" t="s">
        <v>101</v>
      </c>
      <c r="H33" s="2" t="s">
        <v>170</v>
      </c>
      <c r="I33" s="2" t="s">
        <v>171</v>
      </c>
      <c r="J33" s="2" t="s">
        <v>176</v>
      </c>
    </row>
    <row r="34" customFormat="false" ht="22.35" hidden="false" customHeight="false" outlineLevel="0" collapsed="false">
      <c r="A34" s="2" t="n">
        <v>33</v>
      </c>
      <c r="B34" s="2" t="s">
        <v>177</v>
      </c>
      <c r="C34" s="2" t="s">
        <v>178</v>
      </c>
      <c r="D34" s="2" t="n">
        <v>2026</v>
      </c>
      <c r="E34" s="2" t="s">
        <v>179</v>
      </c>
      <c r="F34" s="2" t="s">
        <v>44</v>
      </c>
      <c r="G34" s="2" t="s">
        <v>101</v>
      </c>
      <c r="H34" s="2" t="s">
        <v>170</v>
      </c>
      <c r="I34" s="2" t="s">
        <v>171</v>
      </c>
      <c r="J34" s="2" t="s">
        <v>180</v>
      </c>
    </row>
    <row r="35" customFormat="false" ht="22.35" hidden="false" customHeight="false" outlineLevel="0" collapsed="false">
      <c r="A35" s="2" t="n">
        <v>34</v>
      </c>
      <c r="B35" s="2" t="s">
        <v>181</v>
      </c>
      <c r="C35" s="2" t="s">
        <v>182</v>
      </c>
      <c r="D35" s="2" t="n">
        <v>2025</v>
      </c>
      <c r="E35" s="2" t="s">
        <v>183</v>
      </c>
      <c r="F35" s="2" t="s">
        <v>150</v>
      </c>
      <c r="G35" s="2" t="s">
        <v>101</v>
      </c>
      <c r="H35" s="2" t="s">
        <v>170</v>
      </c>
      <c r="I35" s="2" t="s">
        <v>171</v>
      </c>
      <c r="J35" s="2" t="s">
        <v>184</v>
      </c>
    </row>
    <row r="36" customFormat="false" ht="22.35" hidden="false" customHeight="false" outlineLevel="0" collapsed="false">
      <c r="A36" s="2" t="n">
        <v>35</v>
      </c>
      <c r="B36" s="2" t="s">
        <v>185</v>
      </c>
      <c r="C36" s="2" t="s">
        <v>186</v>
      </c>
      <c r="D36" s="2" t="n">
        <v>2024</v>
      </c>
      <c r="E36" s="2" t="s">
        <v>187</v>
      </c>
      <c r="F36" s="2" t="s">
        <v>188</v>
      </c>
      <c r="G36" s="2" t="s">
        <v>101</v>
      </c>
      <c r="H36" s="2" t="s">
        <v>170</v>
      </c>
      <c r="I36" s="2" t="s">
        <v>171</v>
      </c>
      <c r="J36" s="2" t="s">
        <v>189</v>
      </c>
    </row>
    <row r="37" customFormat="false" ht="22.35" hidden="false" customHeight="false" outlineLevel="0" collapsed="false">
      <c r="A37" s="2" t="n">
        <v>36</v>
      </c>
      <c r="B37" s="2" t="s">
        <v>190</v>
      </c>
      <c r="C37" s="2" t="s">
        <v>191</v>
      </c>
      <c r="D37" s="2" t="n">
        <v>2026</v>
      </c>
      <c r="E37" s="2" t="s">
        <v>192</v>
      </c>
      <c r="F37" s="2" t="s">
        <v>193</v>
      </c>
      <c r="G37" s="2" t="s">
        <v>101</v>
      </c>
      <c r="H37" s="2" t="s">
        <v>170</v>
      </c>
      <c r="I37" s="2" t="s">
        <v>171</v>
      </c>
      <c r="J37" s="2" t="s">
        <v>194</v>
      </c>
    </row>
    <row r="38" customFormat="false" ht="22.35" hidden="false" customHeight="false" outlineLevel="0" collapsed="false">
      <c r="A38" s="2" t="n">
        <v>37</v>
      </c>
      <c r="B38" s="2" t="s">
        <v>195</v>
      </c>
      <c r="C38" s="2" t="s">
        <v>196</v>
      </c>
      <c r="D38" s="2" t="n">
        <v>2025</v>
      </c>
      <c r="E38" s="2" t="s">
        <v>197</v>
      </c>
      <c r="F38" s="2" t="s">
        <v>198</v>
      </c>
      <c r="G38" s="2" t="s">
        <v>101</v>
      </c>
      <c r="H38" s="2" t="s">
        <v>170</v>
      </c>
      <c r="I38" s="2" t="s">
        <v>171</v>
      </c>
      <c r="J38" s="2" t="s">
        <v>199</v>
      </c>
    </row>
    <row r="39" customFormat="false" ht="22.35" hidden="false" customHeight="false" outlineLevel="0" collapsed="false">
      <c r="A39" s="2" t="n">
        <v>38</v>
      </c>
      <c r="B39" s="2" t="s">
        <v>200</v>
      </c>
      <c r="C39" s="2" t="s">
        <v>201</v>
      </c>
      <c r="D39" s="2" t="n">
        <v>2022</v>
      </c>
      <c r="E39" s="2" t="s">
        <v>202</v>
      </c>
      <c r="F39" s="2" t="s">
        <v>203</v>
      </c>
      <c r="G39" s="2" t="s">
        <v>101</v>
      </c>
      <c r="H39" s="2" t="s">
        <v>170</v>
      </c>
      <c r="I39" s="2" t="s">
        <v>171</v>
      </c>
      <c r="J39" s="2" t="s">
        <v>204</v>
      </c>
    </row>
    <row r="40" customFormat="false" ht="22.35" hidden="false" customHeight="false" outlineLevel="0" collapsed="false">
      <c r="A40" s="2" t="n">
        <v>39</v>
      </c>
      <c r="B40" s="2" t="s">
        <v>205</v>
      </c>
      <c r="C40" s="2" t="s">
        <v>174</v>
      </c>
      <c r="D40" s="2" t="n">
        <v>2025</v>
      </c>
      <c r="E40" s="2" t="s">
        <v>206</v>
      </c>
      <c r="F40" s="2" t="s">
        <v>207</v>
      </c>
      <c r="G40" s="2" t="s">
        <v>101</v>
      </c>
      <c r="H40" s="2" t="s">
        <v>170</v>
      </c>
      <c r="I40" s="2" t="s">
        <v>171</v>
      </c>
      <c r="J40" s="2" t="s">
        <v>208</v>
      </c>
    </row>
    <row r="41" customFormat="false" ht="22.35" hidden="false" customHeight="false" outlineLevel="0" collapsed="false">
      <c r="A41" s="2" t="n">
        <v>40</v>
      </c>
      <c r="B41" s="2" t="s">
        <v>209</v>
      </c>
      <c r="C41" s="2" t="s">
        <v>210</v>
      </c>
      <c r="D41" s="2" t="n">
        <v>2025</v>
      </c>
      <c r="E41" s="2" t="s">
        <v>211</v>
      </c>
      <c r="F41" s="2" t="s">
        <v>21</v>
      </c>
      <c r="G41" s="2" t="s">
        <v>101</v>
      </c>
      <c r="H41" s="2" t="s">
        <v>83</v>
      </c>
      <c r="I41" s="2" t="s">
        <v>84</v>
      </c>
      <c r="J41" s="2" t="s">
        <v>212</v>
      </c>
    </row>
    <row r="42" customFormat="false" ht="22.35" hidden="false" customHeight="false" outlineLevel="0" collapsed="false">
      <c r="A42" s="2" t="n">
        <v>41</v>
      </c>
      <c r="B42" s="2" t="s">
        <v>213</v>
      </c>
      <c r="C42" s="2" t="s">
        <v>214</v>
      </c>
      <c r="D42" s="2" t="n">
        <v>2025</v>
      </c>
      <c r="E42" s="2" t="s">
        <v>215</v>
      </c>
      <c r="F42" s="2" t="s">
        <v>216</v>
      </c>
      <c r="G42" s="2" t="s">
        <v>101</v>
      </c>
      <c r="H42" s="2" t="s">
        <v>83</v>
      </c>
      <c r="I42" s="2" t="s">
        <v>217</v>
      </c>
      <c r="J42" s="2" t="s">
        <v>218</v>
      </c>
    </row>
    <row r="43" customFormat="false" ht="15" hidden="false" customHeight="false" outlineLevel="0" collapsed="false">
      <c r="A43" s="2" t="n">
        <v>42</v>
      </c>
      <c r="B43" s="2" t="s">
        <v>219</v>
      </c>
      <c r="C43" s="2" t="s">
        <v>220</v>
      </c>
      <c r="D43" s="2" t="n">
        <v>2023</v>
      </c>
      <c r="E43" s="2" t="s">
        <v>221</v>
      </c>
      <c r="F43" s="2" t="s">
        <v>222</v>
      </c>
      <c r="G43" s="2" t="s">
        <v>101</v>
      </c>
      <c r="H43" s="2" t="s">
        <v>83</v>
      </c>
      <c r="I43" s="2" t="s">
        <v>84</v>
      </c>
      <c r="J43" s="2" t="s">
        <v>223</v>
      </c>
    </row>
    <row r="44" customFormat="false" ht="15" hidden="false" customHeight="false" outlineLevel="0" collapsed="false">
      <c r="A44" s="2" t="n">
        <v>43</v>
      </c>
      <c r="B44" s="2" t="s">
        <v>224</v>
      </c>
      <c r="C44" s="2" t="s">
        <v>225</v>
      </c>
      <c r="D44" s="2" t="n">
        <v>2025</v>
      </c>
      <c r="E44" s="2" t="s">
        <v>226</v>
      </c>
      <c r="F44" s="2" t="s">
        <v>227</v>
      </c>
      <c r="G44" s="2" t="s">
        <v>101</v>
      </c>
      <c r="H44" s="2" t="s">
        <v>83</v>
      </c>
      <c r="I44" s="2" t="s">
        <v>84</v>
      </c>
      <c r="J44" s="2" t="s">
        <v>228</v>
      </c>
    </row>
    <row r="45" customFormat="false" ht="15" hidden="false" customHeight="false" outlineLevel="0" collapsed="false">
      <c r="A45" s="2" t="n">
        <v>44</v>
      </c>
      <c r="B45" s="2" t="s">
        <v>229</v>
      </c>
      <c r="C45" s="2" t="s">
        <v>230</v>
      </c>
      <c r="D45" s="2" t="n">
        <v>2025</v>
      </c>
      <c r="E45" s="2" t="s">
        <v>231</v>
      </c>
      <c r="F45" s="2" t="s">
        <v>232</v>
      </c>
      <c r="G45" s="2" t="s">
        <v>101</v>
      </c>
      <c r="H45" s="2" t="s">
        <v>83</v>
      </c>
      <c r="I45" s="2" t="s">
        <v>84</v>
      </c>
      <c r="J45" s="2" t="s">
        <v>233</v>
      </c>
    </row>
    <row r="46" customFormat="false" ht="22.35" hidden="false" customHeight="false" outlineLevel="0" collapsed="false">
      <c r="A46" s="2" t="n">
        <v>45</v>
      </c>
      <c r="B46" s="2" t="s">
        <v>234</v>
      </c>
      <c r="C46" s="2" t="s">
        <v>235</v>
      </c>
      <c r="D46" s="2" t="n">
        <v>2022</v>
      </c>
      <c r="E46" s="2" t="s">
        <v>236</v>
      </c>
      <c r="F46" s="2" t="s">
        <v>94</v>
      </c>
      <c r="G46" s="2" t="s">
        <v>101</v>
      </c>
      <c r="H46" s="2" t="s">
        <v>83</v>
      </c>
      <c r="I46" s="2" t="s">
        <v>84</v>
      </c>
      <c r="J46" s="2" t="s">
        <v>237</v>
      </c>
    </row>
    <row r="47" customFormat="false" ht="22.35" hidden="false" customHeight="false" outlineLevel="0" collapsed="false">
      <c r="A47" s="2" t="n">
        <v>46</v>
      </c>
      <c r="B47" s="2" t="s">
        <v>238</v>
      </c>
      <c r="C47" s="2" t="s">
        <v>239</v>
      </c>
      <c r="D47" s="2" t="n">
        <v>2023</v>
      </c>
      <c r="E47" s="2" t="s">
        <v>240</v>
      </c>
      <c r="F47" s="2" t="s">
        <v>241</v>
      </c>
      <c r="G47" s="2" t="s">
        <v>101</v>
      </c>
      <c r="H47" s="2" t="s">
        <v>83</v>
      </c>
      <c r="I47" s="2" t="s">
        <v>84</v>
      </c>
      <c r="J47" s="2" t="s">
        <v>242</v>
      </c>
    </row>
    <row r="48" customFormat="false" ht="15" hidden="false" customHeight="false" outlineLevel="0" collapsed="false">
      <c r="A48" s="2" t="n">
        <v>47</v>
      </c>
      <c r="B48" s="2" t="s">
        <v>243</v>
      </c>
      <c r="C48" s="2" t="s">
        <v>244</v>
      </c>
      <c r="D48" s="2" t="n">
        <v>2024</v>
      </c>
      <c r="E48" s="2" t="s">
        <v>245</v>
      </c>
      <c r="F48" s="2" t="s">
        <v>246</v>
      </c>
      <c r="G48" s="2" t="s">
        <v>101</v>
      </c>
      <c r="H48" s="2" t="s">
        <v>83</v>
      </c>
      <c r="I48" s="2" t="s">
        <v>84</v>
      </c>
      <c r="J48" s="2" t="s">
        <v>247</v>
      </c>
    </row>
    <row r="49" customFormat="false" ht="22.35" hidden="false" customHeight="false" outlineLevel="0" collapsed="false">
      <c r="A49" s="2" t="n">
        <v>48</v>
      </c>
      <c r="B49" s="2" t="s">
        <v>248</v>
      </c>
      <c r="C49" s="2" t="s">
        <v>249</v>
      </c>
      <c r="D49" s="2" t="n">
        <v>2024</v>
      </c>
      <c r="E49" s="2" t="s">
        <v>250</v>
      </c>
      <c r="F49" s="2" t="s">
        <v>251</v>
      </c>
      <c r="G49" s="2" t="s">
        <v>101</v>
      </c>
      <c r="H49" s="2" t="s">
        <v>83</v>
      </c>
      <c r="I49" s="2" t="s">
        <v>84</v>
      </c>
      <c r="J49" s="2" t="s">
        <v>242</v>
      </c>
    </row>
  </sheetData>
  <autoFilter ref="A1:J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3" t="s">
        <v>252</v>
      </c>
    </row>
    <row r="2" customFormat="false" ht="15" hidden="false" customHeight="false" outlineLevel="0" collapsed="false">
      <c r="A2" s="4" t="s">
        <v>253</v>
      </c>
    </row>
    <row r="3" customFormat="false" ht="15" hidden="false" customHeight="false" outlineLevel="0" collapsed="false">
      <c r="A3" s="4"/>
    </row>
    <row r="4" customFormat="false" ht="15" hidden="false" customHeight="false" outlineLevel="0" collapsed="false">
      <c r="A4" s="3" t="s">
        <v>254</v>
      </c>
    </row>
    <row r="5" customFormat="false" ht="15" hidden="false" customHeight="false" outlineLevel="0" collapsed="false">
      <c r="A5" s="4" t="s">
        <v>255</v>
      </c>
    </row>
    <row r="6" customFormat="false" ht="15" hidden="false" customHeight="false" outlineLevel="0" collapsed="false">
      <c r="A6" s="4" t="s">
        <v>256</v>
      </c>
    </row>
    <row r="7" customFormat="false" ht="15" hidden="false" customHeight="false" outlineLevel="0" collapsed="false">
      <c r="A7" s="4"/>
    </row>
    <row r="8" customFormat="false" ht="15" hidden="false" customHeight="false" outlineLevel="0" collapsed="false">
      <c r="A8" s="3" t="s">
        <v>257</v>
      </c>
    </row>
    <row r="9" customFormat="false" ht="23.85" hidden="false" customHeight="false" outlineLevel="0" collapsed="false">
      <c r="A9" s="4" t="s">
        <v>258</v>
      </c>
    </row>
    <row r="10" customFormat="false" ht="23.85" hidden="false" customHeight="false" outlineLevel="0" collapsed="false">
      <c r="A10" s="4" t="s">
        <v>259</v>
      </c>
    </row>
    <row r="11" customFormat="false" ht="23.85" hidden="false" customHeight="false" outlineLevel="0" collapsed="false">
      <c r="A11" s="4" t="s">
        <v>260</v>
      </c>
    </row>
    <row r="12" customFormat="false" ht="23.85" hidden="false" customHeight="false" outlineLevel="0" collapsed="false">
      <c r="A12" s="4" t="s">
        <v>261</v>
      </c>
    </row>
    <row r="13" customFormat="false" ht="23.85" hidden="false" customHeight="false" outlineLevel="0" collapsed="false">
      <c r="A13" s="4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8"/>
  </cols>
  <sheetData>
    <row r="1" customFormat="false" ht="15" hidden="false" customHeight="false" outlineLevel="0" collapsed="false">
      <c r="A1" s="5" t="s">
        <v>263</v>
      </c>
      <c r="B1" s="5" t="s">
        <v>264</v>
      </c>
      <c r="C1" s="5" t="s">
        <v>265</v>
      </c>
      <c r="D1" s="5" t="s">
        <v>266</v>
      </c>
      <c r="E1" s="5" t="s">
        <v>267</v>
      </c>
      <c r="F1" s="5" t="s">
        <v>268</v>
      </c>
    </row>
    <row r="2" customFormat="false" ht="15" hidden="false" customHeight="false" outlineLevel="0" collapsed="false">
      <c r="A2" s="6" t="s">
        <v>269</v>
      </c>
      <c r="B2" s="6" t="s">
        <v>1</v>
      </c>
      <c r="C2" s="6" t="s">
        <v>270</v>
      </c>
      <c r="D2" s="6" t="n">
        <f aca="false">COUNTA(S2_fulltext_exclusions!$B$2:$B$49)</f>
        <v>48</v>
      </c>
      <c r="E2" s="6" t="n">
        <v>48</v>
      </c>
      <c r="F2" s="6" t="str">
        <f aca="false">IF(D2=E2,"yes","NO")</f>
        <v>yes</v>
      </c>
    </row>
    <row r="3" customFormat="false" ht="15" hidden="false" customHeight="false" outlineLevel="0" collapsed="false">
      <c r="A3" s="6" t="s">
        <v>271</v>
      </c>
      <c r="B3" s="6" t="s">
        <v>6</v>
      </c>
      <c r="C3" s="6" t="s">
        <v>14</v>
      </c>
      <c r="D3" s="6" t="n">
        <f aca="false">COUNTIF(S2_fulltext_exclusions!$G$2:$G$49,C3)</f>
        <v>16</v>
      </c>
      <c r="E3" s="6" t="n">
        <v>16</v>
      </c>
      <c r="F3" s="6" t="str">
        <f aca="false">IF(D3=E3,"yes","NO")</f>
        <v>yes</v>
      </c>
    </row>
    <row r="4" customFormat="false" ht="15" hidden="false" customHeight="false" outlineLevel="0" collapsed="false">
      <c r="A4" s="6" t="s">
        <v>272</v>
      </c>
      <c r="B4" s="6" t="s">
        <v>6</v>
      </c>
      <c r="C4" s="6" t="s">
        <v>101</v>
      </c>
      <c r="D4" s="6" t="n">
        <f aca="false">COUNTIF(S2_fulltext_exclusions!$G$2:$G$49,C4)</f>
        <v>31</v>
      </c>
      <c r="E4" s="6" t="n">
        <v>31</v>
      </c>
      <c r="F4" s="6" t="str">
        <f aca="false">IF(D4=E4,"yes","NO")</f>
        <v>yes</v>
      </c>
    </row>
    <row r="5" customFormat="false" ht="15" hidden="false" customHeight="false" outlineLevel="0" collapsed="false">
      <c r="A5" s="6" t="s">
        <v>273</v>
      </c>
      <c r="B5" s="6" t="s">
        <v>6</v>
      </c>
      <c r="C5" s="6" t="s">
        <v>95</v>
      </c>
      <c r="D5" s="6" t="n">
        <f aca="false">COUNTIF(S2_fulltext_exclusions!$G$2:$G$49,C5)</f>
        <v>1</v>
      </c>
      <c r="E5" s="6" t="n">
        <v>1</v>
      </c>
      <c r="F5" s="6" t="str">
        <f aca="false">IF(D5=E5,"yes","NO")</f>
        <v>yes</v>
      </c>
    </row>
    <row r="6" customFormat="false" ht="15" hidden="false" customHeight="false" outlineLevel="0" collapsed="false">
      <c r="A6" s="6" t="s">
        <v>274</v>
      </c>
      <c r="B6" s="6" t="s">
        <v>7</v>
      </c>
      <c r="C6" s="6" t="s">
        <v>83</v>
      </c>
      <c r="D6" s="6" t="n">
        <f aca="false">COUNTIF(S2_fulltext_exclusions!$H$2:$H$49,C6)</f>
        <v>11</v>
      </c>
      <c r="E6" s="6" t="n">
        <v>11</v>
      </c>
      <c r="F6" s="6" t="str">
        <f aca="false">IF(D6=E6,"yes","NO")</f>
        <v>yes</v>
      </c>
    </row>
    <row r="7" customFormat="false" ht="15" hidden="false" customHeight="false" outlineLevel="0" collapsed="false">
      <c r="A7" s="6" t="s">
        <v>34</v>
      </c>
      <c r="B7" s="6" t="s">
        <v>7</v>
      </c>
      <c r="C7" s="6" t="s">
        <v>34</v>
      </c>
      <c r="D7" s="6" t="n">
        <f aca="false">COUNTIF(S2_fulltext_exclusions!$H$2:$H$49,C7)</f>
        <v>10</v>
      </c>
      <c r="E7" s="6" t="n">
        <v>10</v>
      </c>
      <c r="F7" s="6" t="str">
        <f aca="false">IF(D7=E7,"yes","NO")</f>
        <v>yes</v>
      </c>
    </row>
    <row r="8" customFormat="false" ht="15" hidden="false" customHeight="false" outlineLevel="0" collapsed="false">
      <c r="A8" s="6" t="s">
        <v>125</v>
      </c>
      <c r="B8" s="6" t="s">
        <v>7</v>
      </c>
      <c r="C8" s="6" t="s">
        <v>125</v>
      </c>
      <c r="D8" s="6" t="n">
        <f aca="false">COUNTIF(S2_fulltext_exclusions!$H$2:$H$49,C8)</f>
        <v>9</v>
      </c>
      <c r="E8" s="6" t="n">
        <v>9</v>
      </c>
      <c r="F8" s="6" t="str">
        <f aca="false">IF(D8=E8,"yes","NO")</f>
        <v>yes</v>
      </c>
    </row>
    <row r="9" customFormat="false" ht="15" hidden="false" customHeight="false" outlineLevel="0" collapsed="false">
      <c r="A9" s="6" t="s">
        <v>170</v>
      </c>
      <c r="B9" s="6" t="s">
        <v>7</v>
      </c>
      <c r="C9" s="6" t="s">
        <v>170</v>
      </c>
      <c r="D9" s="6" t="n">
        <f aca="false">COUNTIF(S2_fulltext_exclusions!$H$2:$H$49,C9)</f>
        <v>9</v>
      </c>
      <c r="E9" s="6" t="n">
        <v>9</v>
      </c>
      <c r="F9" s="6" t="str">
        <f aca="false">IF(D9=E9,"yes","NO")</f>
        <v>yes</v>
      </c>
    </row>
    <row r="10" customFormat="false" ht="15" hidden="false" customHeight="false" outlineLevel="0" collapsed="false">
      <c r="A10" s="6" t="s">
        <v>15</v>
      </c>
      <c r="B10" s="6" t="s">
        <v>7</v>
      </c>
      <c r="C10" s="6" t="s">
        <v>15</v>
      </c>
      <c r="D10" s="6" t="n">
        <f aca="false">COUNTIF(S2_fulltext_exclusions!$H$2:$H$49,C10)</f>
        <v>2</v>
      </c>
      <c r="E10" s="6" t="n">
        <v>2</v>
      </c>
      <c r="F10" s="6" t="str">
        <f aca="false">IF(D10=E10,"yes","NO")</f>
        <v>yes</v>
      </c>
    </row>
    <row r="11" customFormat="false" ht="15" hidden="false" customHeight="false" outlineLevel="0" collapsed="false">
      <c r="A11" s="6" t="s">
        <v>275</v>
      </c>
      <c r="B11" s="6" t="s">
        <v>7</v>
      </c>
      <c r="C11" s="6" t="s">
        <v>114</v>
      </c>
      <c r="D11" s="6" t="n">
        <f aca="false">COUNTIF(S2_fulltext_exclusions!$H$2:$H$49,C11)</f>
        <v>2</v>
      </c>
      <c r="E11" s="6" t="n">
        <v>2</v>
      </c>
      <c r="F11" s="6" t="str">
        <f aca="false">IF(D11=E11,"yes","NO")</f>
        <v>yes</v>
      </c>
    </row>
    <row r="12" customFormat="false" ht="15" hidden="false" customHeight="false" outlineLevel="0" collapsed="false">
      <c r="A12" s="6" t="s">
        <v>102</v>
      </c>
      <c r="B12" s="6" t="s">
        <v>7</v>
      </c>
      <c r="C12" s="6" t="s">
        <v>102</v>
      </c>
      <c r="D12" s="6" t="n">
        <f aca="false">COUNTIF(S2_fulltext_exclusions!$H$2:$H$49,C12)</f>
        <v>2</v>
      </c>
      <c r="E12" s="6" t="n">
        <v>2</v>
      </c>
      <c r="F12" s="6" t="str">
        <f aca="false">IF(D12=E12,"yes","NO")</f>
        <v>yes</v>
      </c>
    </row>
    <row r="13" customFormat="false" ht="15" hidden="false" customHeight="false" outlineLevel="0" collapsed="false">
      <c r="A13" s="6" t="s">
        <v>276</v>
      </c>
      <c r="B13" s="6" t="s">
        <v>7</v>
      </c>
      <c r="C13" s="6" t="s">
        <v>76</v>
      </c>
      <c r="D13" s="6" t="n">
        <f aca="false">COUNTIF(S2_fulltext_exclusions!$H$2:$H$49,C13)</f>
        <v>2</v>
      </c>
      <c r="E13" s="6" t="n">
        <v>2</v>
      </c>
      <c r="F13" s="6" t="str">
        <f aca="false">IF(D13=E13,"yes","NO")</f>
        <v>yes</v>
      </c>
    </row>
    <row r="14" customFormat="false" ht="15" hidden="false" customHeight="false" outlineLevel="0" collapsed="false">
      <c r="A14" s="6" t="s">
        <v>27</v>
      </c>
      <c r="B14" s="6" t="s">
        <v>7</v>
      </c>
      <c r="C14" s="6" t="s">
        <v>27</v>
      </c>
      <c r="D14" s="6" t="n">
        <f aca="false">COUNTIF(S2_fulltext_exclusions!$H$2:$H$49,C14)</f>
        <v>1</v>
      </c>
      <c r="E14" s="6" t="n">
        <v>1</v>
      </c>
      <c r="F14" s="6" t="str">
        <f aca="false">IF(D14=E14,"yes","NO")</f>
        <v>yes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2026-09-25T14:50:29Z</dcterms:created>
  <dc:creator>openpyxl</dc:creator>
  <dc:description/>
  <dc:language>en-US</dc:language>
  <cp:lastModifiedBy/>
  <dcterms:modified xsi:type="dcterms:W3CDTF">2026-09-25T14:50:29Z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