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2_fulltext_exclusions" sheetId="1" state="visible" r:id="rId3"/>
    <sheet name="README" sheetId="2" state="visible" r:id="rId4"/>
    <sheet name="Checks" sheetId="3" state="visible" r:id="rId5"/>
  </sheets>
  <definedNames>
    <definedName function="false" hidden="true" localSheetId="0" name="_xlnm._FilterDatabase" vbProcedure="false">S2_fulltext_exclusions!$A$1:$J$49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<sst xmlns="http://schemas.openxmlformats.org/spreadsheetml/2006/main" count="451" uniqueCount="279">
  <si>
    <t xml:space="preserve">No.</t>
  </si>
  <si>
    <t xml:space="preserve">DOI</t>
  </si>
  <si>
    <t xml:space="preserve">First author</t>
  </si>
  <si>
    <t xml:space="preserve">Year</t>
  </si>
  <si>
    <t xml:space="preserve">Title</t>
  </si>
  <si>
    <t xml:space="preserve">Journal</t>
  </si>
  <si>
    <t xml:space="preserve">Exclusion route</t>
  </si>
  <si>
    <t xml:space="preserve">Reason (consolidated)</t>
  </si>
  <si>
    <t xml:space="preserve">Reason as recorded</t>
  </si>
  <si>
    <t xml:space="preserve">Recorded note</t>
  </si>
  <si>
    <t xml:space="preserve">10.1007/s10586-024-04852-2</t>
  </si>
  <si>
    <t xml:space="preserve">Ahmadpour, Seyed-Sajad</t>
  </si>
  <si>
    <t xml:space="preserve">A new quantum-enhanced approach to AI-driven medical imaging system</t>
  </si>
  <si>
    <t xml:space="preserve">Cluster Computing</t>
  </si>
  <si>
    <t xml:space="preserve">Automated paradigm and scope rule</t>
  </si>
  <si>
    <t xml:space="preserve">Quantum cellular automata</t>
  </si>
  <si>
    <t xml:space="preserve">quantum cellular automata, not gate/annealing quantum computing</t>
  </si>
  <si>
    <t xml:space="preserve">Rule applied to extracted paradigm fields. Subcategory: quantum_cellular_automata. Facets: quantum_cellular_automata; detector_instrumentation.</t>
  </si>
  <si>
    <t xml:space="preserve">10.1007/s11227-025-07963-8</t>
  </si>
  <si>
    <t xml:space="preserve">Kush, Lav</t>
  </si>
  <si>
    <t xml:space="preserve">Energy-efficient design of priority encoder-based median filter in QCA for impulse noise reduction</t>
  </si>
  <si>
    <t xml:space="preserve">The Journal of Supercomputing</t>
  </si>
  <si>
    <t xml:space="preserve">Rule applied to extracted paradigm fields. Subcategory: quantum_cellular_automata. Facets: quantum_cellular_automata; quantum_arithmetic_logic; quantum_image_representation.</t>
  </si>
  <si>
    <t xml:space="preserve">10.1103/physreva.110.063512</t>
  </si>
  <si>
    <t xml:space="preserve">Huang, Yiyue</t>
  </si>
  <si>
    <t xml:space="preserve">Deep learning in classical x-ray ghost imaging for dose reduction</t>
  </si>
  <si>
    <t xml:space="preserve">Physical Review A</t>
  </si>
  <si>
    <t xml:space="preserve">Quantum physics phenomenon</t>
  </si>
  <si>
    <t xml:space="preserve">quantum physics phenomenon (entanglement / error-correction), not quantum computing</t>
  </si>
  <si>
    <t xml:space="preserve">Rule applied to extracted paradigm fields. Subcategory: quantum_physics_phenomenon. Facets: quantum_physics_phenomenon.</t>
  </si>
  <si>
    <t xml:space="preserve">10.1016/j.ejmp.2026.105780</t>
  </si>
  <si>
    <t xml:space="preserve">Kožuljević, Ana Marija</t>
  </si>
  <si>
    <t xml:space="preserve">Towards polarization-enhanced PET: Study of random background in polarization-correlated Compton events</t>
  </si>
  <si>
    <t xml:space="preserve">Physica Medica</t>
  </si>
  <si>
    <t xml:space="preserve">Quantum sensing or detector physics</t>
  </si>
  <si>
    <t xml:space="preserve">quantum sensing / detector physics, not quantum computing</t>
  </si>
  <si>
    <t xml:space="preserve">Rule applied to extracted paradigm fields. Subcategory: detector_instrumentation. Facets: detector_instrumentation; quantum_physics_phenomenon.</t>
  </si>
  <si>
    <t xml:space="preserve">10.1038/s41467-021-22907-5</t>
  </si>
  <si>
    <t xml:space="preserve">Watts, D. P.</t>
  </si>
  <si>
    <t xml:space="preserve">Photon quantum entanglement in the MeV regime and its application in PET imaging</t>
  </si>
  <si>
    <t xml:space="preserve">Nature Communications</t>
  </si>
  <si>
    <t xml:space="preserve">10.1038/s41598-024-60472-1</t>
  </si>
  <si>
    <t xml:space="preserve">Hiesmayr, B. C.</t>
  </si>
  <si>
    <t xml:space="preserve">Quantum error channels in high energetic photonic systems</t>
  </si>
  <si>
    <t xml:space="preserve">Scientific Reports</t>
  </si>
  <si>
    <t xml:space="preserve">10.1038/s41598-025-32951-6</t>
  </si>
  <si>
    <t xml:space="preserve">Gurunath Bharathi, Praveen</t>
  </si>
  <si>
    <t xml:space="preserve">Machine learning-assisted event classification in cadmium zinc telluride positron emission tomography detectors leveraging entanglement-informed angular correlations</t>
  </si>
  <si>
    <t xml:space="preserve">10.1088/1748-0221/18/07/p07007</t>
  </si>
  <si>
    <t xml:space="preserve">Kim, Donghwan</t>
  </si>
  <si>
    <t xml:space="preserve">Background reduction in PET by double Compton scattering of quantum entangled annihilation photons</t>
  </si>
  <si>
    <t xml:space="preserve">Journal of Instrumentation</t>
  </si>
  <si>
    <t xml:space="preserve">10.1109/tim.2025.3533651</t>
  </si>
  <si>
    <t xml:space="preserve">Kim, Sundo</t>
  </si>
  <si>
    <t xml:space="preserve">A Light Detector Capacitance Compensation Technique Achieving Boosted Active Quenching for Single-Photon Avalanche Diodes</t>
  </si>
  <si>
    <t xml:space="preserve">IEEE Transactions on Instrumentation and Measurement</t>
  </si>
  <si>
    <t xml:space="preserve">Rule applied to extracted paradigm fields. Subcategory: detector_instrumentation. Facets: detector_instrumentation.</t>
  </si>
  <si>
    <t xml:space="preserve">10.1109/tns.2022.3140396</t>
  </si>
  <si>
    <t xml:space="preserve">Dudak, Jan</t>
  </si>
  <si>
    <t xml:space="preserve">Applicability of Large-Area Single-Photon Counting Detectors Timepix for High-Resolution and High-Contrast X-Ray Imaging of Biological Samples</t>
  </si>
  <si>
    <t xml:space="preserve">IEEE Transactions on Nuclear Science</t>
  </si>
  <si>
    <t xml:space="preserve">10.1109/tns.2024.3369972</t>
  </si>
  <si>
    <t xml:space="preserve">Granja, C.</t>
  </si>
  <si>
    <t xml:space="preserve">Composition and Spectral Characterization of Mixed-Radiation Fields With Enhanced Discrimination by Quantum Imaging Detection</t>
  </si>
  <si>
    <t xml:space="preserve">10.1109/trpms.2024.3388872</t>
  </si>
  <si>
    <t xml:space="preserve">Romanchek, Gregory</t>
  </si>
  <si>
    <t xml:space="preserve">Quantum Entanglement Filtering: A PET feasibility study in imaging dual-positron and prompt gamma emission via Monte Carlo simulation</t>
  </si>
  <si>
    <t xml:space="preserve">IEEE Transactions on Radiation and Plasma Medical Sciences</t>
  </si>
  <si>
    <t xml:space="preserve">10.5604/01.3001.0054.9079</t>
  </si>
  <si>
    <t xml:space="preserve">Romanchek, Gregory R.</t>
  </si>
  <si>
    <t xml:space="preserve">Investigation of Quantum Entanglement Information for β+γ Coincidences</t>
  </si>
  <si>
    <t xml:space="preserve">Bio-Algorithms and Med-Systems</t>
  </si>
  <si>
    <t xml:space="preserve">10.1140/epjp/s13360-025-06587-4</t>
  </si>
  <si>
    <t xml:space="preserve">Saumiya, S.</t>
  </si>
  <si>
    <t xml:space="preserve">ISAM-QV7Net: an improved segment anything model-2 with the quantum-inspired superposition memory and vision-efficientNetB7 for the advanced liver tumor prognosis</t>
  </si>
  <si>
    <t xml:space="preserve">Eur. Phys. J. Plus</t>
  </si>
  <si>
    <t xml:space="preserve">Quantum-inspired classical method</t>
  </si>
  <si>
    <t xml:space="preserve">quantum-inspired classical method, no quantum computation</t>
  </si>
  <si>
    <t xml:space="preserve">Rule applied to extracted paradigm fields. Subcategory: quantum_inspired. Facets: quantum_inspired.</t>
  </si>
  <si>
    <t xml:space="preserve">10.1007/s10462-024-10932-x</t>
  </si>
  <si>
    <t xml:space="preserve">Yan, Fei</t>
  </si>
  <si>
    <t xml:space="preserve">Review of medical image processing using quantum-enabled algorithms</t>
  </si>
  <si>
    <t xml:space="preserve">Artificial Intelligence Review</t>
  </si>
  <si>
    <t xml:space="preserve">Secondary or review article</t>
  </si>
  <si>
    <t xml:space="preserve">secondary study (review / perspective)</t>
  </si>
  <si>
    <t xml:space="preserve">Rule applied to extracted paradigm fields. Subcategory: review_or_perspective. Facets: review_or_perspective; quantum_image_representation.</t>
  </si>
  <si>
    <t xml:space="preserve">10.1016/j.acra.2026.01.034</t>
  </si>
  <si>
    <t xml:space="preserve">Hadi, Mohiuddin</t>
  </si>
  <si>
    <t xml:space="preserve">An RRA Perspective on Quantum Computing and Blockchain in Radiology: Emerging Paradigms for Data Integrity and Advanced Computation</t>
  </si>
  <si>
    <t xml:space="preserve">Academic Radiology</t>
  </si>
  <si>
    <t xml:space="preserve">Rule applied to extracted paradigm fields. Subcategory: review_or_perspective. Facets: review_or_perspective.</t>
  </si>
  <si>
    <t xml:space="preserve">10.1109/access.2025.3627877</t>
  </si>
  <si>
    <t xml:space="preserve">Aravinda, C. V.</t>
  </si>
  <si>
    <t xml:space="preserve">A Neural Architecture Search-Driven Quantum Patch Attention Framework for Skin Disease Recognition and Classification With XAI Vision Transformers</t>
  </si>
  <si>
    <t xml:space="preserve">IEEE Access</t>
  </si>
  <si>
    <t xml:space="preserve">Decision during critical appraisal</t>
  </si>
  <si>
    <t xml:space="preserve">Full-text re-inspection after the critical appraisal found repeated author statements that no quantum circuit is executed, with the encoder implemented in classical linear algebra (docs/DECISION_N133_access_exclusion.md).</t>
  </si>
  <si>
    <t xml:space="preserve">10.1063/5.0261878</t>
  </si>
  <si>
    <t xml:space="preserve">Hullamballi, Pratham</t>
  </si>
  <si>
    <t xml:space="preserve">Quantum alternating operator ansatz for the preparation and detection of long-lived singlet states in NMR</t>
  </si>
  <si>
    <t xml:space="preserve">The Journal of Chemical Physics</t>
  </si>
  <si>
    <t xml:space="preserve">Individual full-text review</t>
  </si>
  <si>
    <t xml:space="preserve">Instrumentation or physics</t>
  </si>
  <si>
    <t xml:space="preserve">quantum instrumentation / physics, not an imaging application</t>
  </si>
  <si>
    <t xml:space="preserve">NMR singlet preparation/detection; instrumentation/physics, not imaging</t>
  </si>
  <si>
    <t xml:space="preserve">10.1088/1361-6560/ae48aa</t>
  </si>
  <si>
    <t xml:space="preserve">Olivera, Gustavo</t>
  </si>
  <si>
    <t xml:space="preserve">High-Flux Entangled Photon Generation via Clinical Megavoltage Radiotherapy Beams for Quantum Imaging and Theranostics</t>
  </si>
  <si>
    <t xml:space="preserve">Physics in Medicine and Biology</t>
  </si>
  <si>
    <t xml:space="preserve">entangled-photon generation via radiotherapy beams; imaging-instrumentation physics</t>
  </si>
  <si>
    <t xml:space="preserve">10.1007/s42484-022-00090-0</t>
  </si>
  <si>
    <t xml:space="preserve">Magano, Duarte</t>
  </si>
  <si>
    <t xml:space="preserve">Quantum density peak clustering</t>
  </si>
  <si>
    <t xml:space="preserve">Quantum Machine Intelligence</t>
  </si>
  <si>
    <t xml:space="preserve">Method only, no imaging dataset</t>
  </si>
  <si>
    <t xml:space="preserve">no medical-imaging dataset (method demonstration on synthetic / non-imaging data)</t>
  </si>
  <si>
    <t xml:space="preserve">synthetic toy (8 pts) + Forest Cover Type (non-medical tabular); no medical imaging</t>
  </si>
  <si>
    <t xml:space="preserve">10.1088/2058-9565/adbcd1</t>
  </si>
  <si>
    <t xml:space="preserve">Li, Wenxin</t>
  </si>
  <si>
    <t xml:space="preserve">Unified sparse optimization via quantum architectures and hybrid techniques</t>
  </si>
  <si>
    <t xml:space="preserve">Quantum Science and Technology</t>
  </si>
  <si>
    <t xml:space="preserve">generic optimization, dataset not_reported; no medical imaging</t>
  </si>
  <si>
    <t xml:space="preserve">10.1007/s11227-025-07266-y</t>
  </si>
  <si>
    <t xml:space="preserve">Misra, Shreshtha</t>
  </si>
  <si>
    <t xml:space="preserve">QEKLR: quantum-enhanced kernel logistic regression for classification</t>
  </si>
  <si>
    <t xml:space="preserve">Non-imaging medical data</t>
  </si>
  <si>
    <t xml:space="preserve">not a medical-imaging study (non-imaging medical data)</t>
  </si>
  <si>
    <t xml:space="preserve">tabular UCI (Iris/Heart/Ecoli); non-imaging</t>
  </si>
  <si>
    <t xml:space="preserve">10.1007/s11227-025-07939-8</t>
  </si>
  <si>
    <t xml:space="preserve">Jain, Vibha</t>
  </si>
  <si>
    <t xml:space="preserve">Quantum-assisted cardiac diseases diagnosis and prediction using ECG images</t>
  </si>
  <si>
    <t xml:space="preserve">ECG signal; non-imaging modality</t>
  </si>
  <si>
    <t xml:space="preserve">10.1016/j.asoc.2024.111781</t>
  </si>
  <si>
    <t xml:space="preserve">Yu, Jae Yong</t>
  </si>
  <si>
    <t xml:space="preserve">Evaluation of conventional and quantum computing for predicting mortality based on small early-onset colorectal cancer data</t>
  </si>
  <si>
    <t xml:space="preserve">Applied Soft Computing</t>
  </si>
  <si>
    <t xml:space="preserve">cancer-registry tabular mortality features; non-imaging</t>
  </si>
  <si>
    <t xml:space="preserve">10.1016/j.eij.2026.100901</t>
  </si>
  <si>
    <t xml:space="preserve">Tashrif, Md Tanjum An</t>
  </si>
  <si>
    <t xml:space="preserve">Predicting preterm birth with privacy-preserving AI models: Federated learning and explainable AI</t>
  </si>
  <si>
    <t xml:space="preserve">Egyptian Informatics Journal</t>
  </si>
  <si>
    <t xml:space="preserve">EHG (electrohysterography) signal; non-imaging</t>
  </si>
  <si>
    <t xml:space="preserve">10.1049/qtc2.12078</t>
  </si>
  <si>
    <t xml:space="preserve">Sha, Mohemmed</t>
  </si>
  <si>
    <t xml:space="preserve">Quantum intelligence in medicine: Empowering thyroid disease prediction through advanced machine learning</t>
  </si>
  <si>
    <t xml:space="preserve">IET Quantum Communication</t>
  </si>
  <si>
    <t xml:space="preserve">thyroid tabular dataset; non-imaging</t>
  </si>
  <si>
    <t xml:space="preserve">10.1109/jiot.2025.3537614</t>
  </si>
  <si>
    <t xml:space="preserve">Qu, Zhiguo</t>
  </si>
  <si>
    <t xml:space="preserve">DAQFL: Dynamic Aggregation Quantum Federated Learning Algorithm for Intelligent Diagnosis in Internet of Medical Things</t>
  </si>
  <si>
    <t xml:space="preserve">IEEE Internet of Things Journal</t>
  </si>
  <si>
    <t xml:space="preserve">Wisconsin Breast Cancer (FNA cytology, image-derived) and Fetal Health (CTG signal) used as tabular benchmarks, with no image processing.</t>
  </si>
  <si>
    <t xml:space="preserve">10.1109/tce.2025.3548303</t>
  </si>
  <si>
    <t xml:space="preserve">Ho, Raymond</t>
  </si>
  <si>
    <t xml:space="preserve">EEG-Based Dementia Classification Using CS-EMD Synchrony Features and Quantum Machine Learning</t>
  </si>
  <si>
    <t xml:space="preserve">IEEE Transactions on Consumer Electronics</t>
  </si>
  <si>
    <t xml:space="preserve">EEG signal; non-imaging</t>
  </si>
  <si>
    <t xml:space="preserve">10.1140/epjqt/s40507-026-00500-3</t>
  </si>
  <si>
    <t xml:space="preserve">Dutta, Shivanya Shomir</t>
  </si>
  <si>
    <t xml:space="preserve">DuoQ-EpiNet: a dual-track quantum-classical convolutional neural network for EEG-based epilepsy seizure detection</t>
  </si>
  <si>
    <t xml:space="preserve">EPJ Quantum Technology</t>
  </si>
  <si>
    <t xml:space="preserve">Univ Bonn EEG + CHB-MIT scalp EEG (both signal); non-imaging</t>
  </si>
  <si>
    <t xml:space="preserve">10.3389/frai.2026.1807209</t>
  </si>
  <si>
    <t xml:space="preserve">Alden Jenish, S.</t>
  </si>
  <si>
    <t xml:space="preserve">A quantum-classical dual-track deep learning network for explainable Parkinson's disease classification</t>
  </si>
  <si>
    <t xml:space="preserve">Frontiers in Artificial Intelligence</t>
  </si>
  <si>
    <t xml:space="preserve">Parkinson hand-drawn spiral/meander; drawings, not radiological imaging</t>
  </si>
  <si>
    <t xml:space="preserve">10.1038/s41598-022-25280-5</t>
  </si>
  <si>
    <t xml:space="preserve">Salari, Vahid</t>
  </si>
  <si>
    <t xml:space="preserve">Quantum face recognition protocol with ghost imaging</t>
  </si>
  <si>
    <t xml:space="preserve">Non-medical data</t>
  </si>
  <si>
    <t xml:space="preserve">not a medical-imaging study (non-medical data)</t>
  </si>
  <si>
    <t xml:space="preserve">synthetic faces (thispersondoesnotexist) + 1 coauthor photo; face recognition, non-clinical</t>
  </si>
  <si>
    <t xml:space="preserve">10.1038/s41598-025-24168-4</t>
  </si>
  <si>
    <t xml:space="preserve">Alwan, Nawres A.</t>
  </si>
  <si>
    <t xml:space="preserve">Multilayered quantum computing and simulation system for enhanced image representation of HSI based Fourier transform and adjacency matrix</t>
  </si>
  <si>
    <t xml:space="preserve">USC-SIPI / scikit-image / Test Card F / Ashurbanipal; general image-processing test images, non-medical</t>
  </si>
  <si>
    <t xml:space="preserve">10.1038/s41598-026-51130-9</t>
  </si>
  <si>
    <t xml:space="preserve">Al-Hinai, Mayasa</t>
  </si>
  <si>
    <t xml:space="preserve">Perceptually AMQE-QLDPC coding for quantum image transmission over amplitude-damping channels</t>
  </si>
  <si>
    <t xml:space="preserve">64x64 grayscale test image, image transmission/coding; non-medical</t>
  </si>
  <si>
    <t xml:space="preserve">10.1109/jiot.2025.3586090</t>
  </si>
  <si>
    <t xml:space="preserve">Riaz, Muhammad Zeeshan</t>
  </si>
  <si>
    <t xml:space="preserve">Quantum Machine Learning for Energy-Efficient 5G-Enabled IoMT Healthcare Systems: Enhancing Data Security and Processing</t>
  </si>
  <si>
    <t xml:space="preserve">5G/IoT network telemetry (Lumos5G, WUSTL-EHMS healthcare-IoT, PS-IoT); network data, not medical imaging</t>
  </si>
  <si>
    <t xml:space="preserve">10.1109/tnsre.2024.3385336</t>
  </si>
  <si>
    <t xml:space="preserve">Hossain, Sanoar</t>
  </si>
  <si>
    <t xml:space="preserve">A Deep Quantum Convolutional Neural Network Based Facial Expression Recognition For Mental Health Analysis</t>
  </si>
  <si>
    <t xml:space="preserve">IEEE Transactions on Neural Systems and Rehabilitation Engineering</t>
  </si>
  <si>
    <t xml:space="preserve">KDEF/SFEW/FER facial-expression image sets; non-clinical faces (affect recognition)</t>
  </si>
  <si>
    <t xml:space="preserve">10.1155/acis/1176614</t>
  </si>
  <si>
    <t xml:space="preserve">R., Venkat</t>
  </si>
  <si>
    <t xml:space="preserve">Adversarial Attack Detection in Federated Learning Using Quantum Recurrent Neural Network</t>
  </si>
  <si>
    <t xml:space="preserve">Applied Computational Intelligence and Soft Computing</t>
  </si>
  <si>
    <t xml:space="preserve">Mirai/N-BaIoT IoT-botnet network data; non-medical</t>
  </si>
  <si>
    <t xml:space="preserve">10.18280/ts.420531</t>
  </si>
  <si>
    <t xml:space="preserve">Elaraby, Ahmed</t>
  </si>
  <si>
    <t xml:space="preserve">Quantum Edge Detection in Digital Imaging: A Novel Approach Using Quantum Exponential Entropy</t>
  </si>
  <si>
    <t xml:space="preserve">Traitement du Signal</t>
  </si>
  <si>
    <t xml:space="preserve">Mixed benchmark of natural, aerial and medical images for general FRQI edge detection. Medical use is incidental.</t>
  </si>
  <si>
    <t xml:space="preserve">10.3390/biom12111576</t>
  </si>
  <si>
    <t xml:space="preserve">Kim, Jonathan</t>
  </si>
  <si>
    <t xml:space="preserve">Generalization Performance of Quantum Metric Learning Classifiers</t>
  </si>
  <si>
    <t xml:space="preserve">Biomolecules</t>
  </si>
  <si>
    <t xml:space="preserve">ImageNet ants/bees (non-medical images) and Wisconsin Breast Cancer (FNA cytology-derived, tabular). The primary image dataset is non-medical.</t>
  </si>
  <si>
    <t xml:space="preserve">10.3934/math.2025499</t>
  </si>
  <si>
    <t xml:space="preserve">A multi-channel quantum image representation model with qubit sequences for quantum-inspired image and image retrieval</t>
  </si>
  <si>
    <t xml:space="preserve">AIMS Mathematics</t>
  </si>
  <si>
    <t xml:space="preserve">single non-medical demonstration image (Ashurbanipal); quantum image-rep method</t>
  </si>
  <si>
    <t xml:space="preserve">10.1007/s11227-025-07789-4</t>
  </si>
  <si>
    <t xml:space="preserve">ElBedoui, Khaoula</t>
  </si>
  <si>
    <t xml:space="preserve">Medical image analysis: a systematization of knowledge on the convergence of AI and quantum computing</t>
  </si>
  <si>
    <t xml:space="preserve">SoK / survey; no primary dataset</t>
  </si>
  <si>
    <t xml:space="preserve">10.1016/j.ejca.2025.115632</t>
  </si>
  <si>
    <t xml:space="preserve">Matarèse, Bruno F.E.</t>
  </si>
  <si>
    <t xml:space="preserve">Unlocking clinical quantum oncology through quantum control</t>
  </si>
  <si>
    <t xml:space="preserve">European Journal of Cancer</t>
  </si>
  <si>
    <t xml:space="preserve">secondary/review</t>
  </si>
  <si>
    <t xml:space="preserve">Journal-labelled 'Current Perspective'; no implementation. Abstract entirely conditional; no dataset/results/circuits; Eur J Cancer 226(2025)115632</t>
  </si>
  <si>
    <t xml:space="preserve">10.1016/j.neucom.2023.01.049</t>
  </si>
  <si>
    <t xml:space="preserve">Wei, Lin</t>
  </si>
  <si>
    <t xml:space="preserve">Quantum machine learning in medical image analysis: A survey</t>
  </si>
  <si>
    <t xml:space="preserve">Neurocomputing</t>
  </si>
  <si>
    <t xml:space="preserve">title = 'A survey'; no dataset</t>
  </si>
  <si>
    <t xml:space="preserve">10.1016/j.patter.2025.101236</t>
  </si>
  <si>
    <t xml:space="preserve">Flöther, Frederik F.</t>
  </si>
  <si>
    <t xml:space="preserve">How quantum computing can enhance biomarker discovery</t>
  </si>
  <si>
    <t xml:space="preserve">Patterns</t>
  </si>
  <si>
    <t xml:space="preserve">Perspective article (type confirmed on the journal page). No primary dataset.</t>
  </si>
  <si>
    <t xml:space="preserve">10.1038/s41585-025-01058-y</t>
  </si>
  <si>
    <t xml:space="preserve">Khanna, Raghav</t>
  </si>
  <si>
    <t xml:space="preserve">Quantum computing in surgery and urology — taking a quantum leap</t>
  </si>
  <si>
    <t xml:space="preserve">Nature Reviews Urology</t>
  </si>
  <si>
    <t xml:space="preserve">Comment article of two pages (type confirmed on the journal page). No primary dataset.</t>
  </si>
  <si>
    <t xml:space="preserve">10.1109/access.2022.3195044</t>
  </si>
  <si>
    <t xml:space="preserve">Maheshwari, Danyal</t>
  </si>
  <si>
    <t xml:space="preserve">Quantum Machine Learning Applications in the Biomedical Domain: A Systematic Review</t>
  </si>
  <si>
    <t xml:space="preserve">title = 'A Systematic Review'</t>
  </si>
  <si>
    <t xml:space="preserve">10.1177/15330338231215214</t>
  </si>
  <si>
    <t xml:space="preserve">Rahimi, Milad</t>
  </si>
  <si>
    <t xml:space="preserve">Oncological Applications of Quantum Machine Learning</t>
  </si>
  <si>
    <t xml:space="preserve">Technology in Cancer Research &amp; Treatment</t>
  </si>
  <si>
    <t xml:space="preserve">Review article (literature review of nine studies, as stated in its abstract). No primary dataset.</t>
  </si>
  <si>
    <t xml:space="preserve">10.3390/medsci12040067</t>
  </si>
  <si>
    <t xml:space="preserve">Chow, James C. L.</t>
  </si>
  <si>
    <t xml:space="preserve">Quantum Computing in Medicine</t>
  </si>
  <si>
    <t xml:space="preserve">Medical Sciences</t>
  </si>
  <si>
    <t xml:space="preserve">Review article (type confirmed on the publisher page). No primary dataset.</t>
  </si>
  <si>
    <t xml:space="preserve">10.7759/cureus.67486</t>
  </si>
  <si>
    <t xml:space="preserve">Jeyaraman, Naveen</t>
  </si>
  <si>
    <t xml:space="preserve">Revolutionizing Healthcare: The Emerging Role of Quantum Computing in Enhancing Medical Technology and Treatment</t>
  </si>
  <si>
    <t xml:space="preserve">Cureus</t>
  </si>
  <si>
    <t xml:space="preserve">Narrative review (type stated in its abstract). No primary dataset.</t>
  </si>
  <si>
    <t xml:space="preserve">Supplementary Table S2. Reports excluded at full text (N = 48), with reason, exclusion route and recorded basis</t>
  </si>
  <si>
    <t xml:space="preserve">Quantum Computing for Medical Imaging Applications: A PRISMA-Compliant Systematic Review (IEEE TRPMS).</t>
  </si>
  <si>
    <t xml:space="preserve">Contents</t>
  </si>
  <si>
    <t xml:space="preserve">Sheet "S2_fulltext_exclusions": one row per excluded report, grouped by exclusion route and reason.</t>
  </si>
  <si>
    <t xml:space="preserve">Sheet "Checks": counts computed by formula from S2 and compared with Section III-A of the manuscript.</t>
  </si>
  <si>
    <t xml:space="preserve">Exclusion routes (Section II-D)</t>
  </si>
  <si>
    <t xml:space="preserve">Automated paradigm and scope rule (16): a deterministic rule applied to the extracted quantum-method and scope fields. Source: 4-FullTextExtraction/extract_v1/excluded_fulltext.csv.</t>
  </si>
  <si>
    <t xml:space="preserve">Individual full-text review (31): reports re-read against the full text and decided individually, each decision confirmed by the corresponding author. Source: 5-Adjudication/manual_fulltext_exclusions_v47.csv (basis and evidence columns).</t>
  </si>
  <si>
    <t xml:space="preserve">Decision during critical appraisal (1): excluded after the critical appraisal of the quality-fit subset. Source: docs/DECISION_N133_access_exclusion.md.</t>
  </si>
  <si>
    <t xml:space="preserve">All sources are in the public repository https://github.com/lpapp-muw/qc-medimaging-review. Titles and journals come from the full-text extraction workbook, and years from the co-author extraction.</t>
  </si>
  <si>
    <t xml:space="preserve">Eight reviewer notes were reworded before publication on 25 September 2026: for five secondary articles the article type was confirmed on the journal, publisher or abstract page, and three notes had internal working remarks removed. The original notes remain in the repository CSV.</t>
  </si>
  <si>
    <t xml:space="preserve">"Reason as recorded" is the exclusion reason exactly as stored. "Reason (consolidated)" groups it into the nine categories reported in Section III-A. "Recorded note" is the note stored with each decision: the rule inputs for the automated route, and the reviewer note for the individual reviews.</t>
  </si>
  <si>
    <t xml:space="preserve">Quantity</t>
  </si>
  <si>
    <t xml:space="preserve">Column</t>
  </si>
  <si>
    <t xml:space="preserve">Value counted</t>
  </si>
  <si>
    <t xml:space="preserve">Count in this table</t>
  </si>
  <si>
    <t xml:space="preserve">Value in the manuscript</t>
  </si>
  <si>
    <t xml:space="preserve">Match</t>
  </si>
  <si>
    <t xml:space="preserve">Excluded at full text</t>
  </si>
  <si>
    <t xml:space="preserve">(rows)</t>
  </si>
  <si>
    <t xml:space="preserve">Automated rule</t>
  </si>
  <si>
    <t xml:space="preserve">Individual review</t>
  </si>
  <si>
    <t xml:space="preserve">Critical appraisal</t>
  </si>
  <si>
    <t xml:space="preserve">Secondary or review</t>
  </si>
  <si>
    <t xml:space="preserve">Method only</t>
  </si>
  <si>
    <t xml:space="preserve">Quantum-inspired classical</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</si>
</sst>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10"/>
      <name val="Arial"/>
      <family val="0"/>
      <charset val="1"/>
    </font>
    <font>
      <sz val="10"/>
      <name val="Arial"/>
      <family val="0"/>
      <charset val="1"/>
    </font>
  </fonts>
  <fills count="3">
    <fill>
      <patternFill patternType="none"/>
    </fill>
    <fill>
      <patternFill patternType="gray125"/>
    </fill>
    <fill>
      <patternFill patternType="solid">
        <fgColor rgb="FF1F3A5F"/>
        <bgColor rgb="FF333333"/>
      </patternFill>
    </fill>
  </fills>
  <borders count="2">
    <border diagonalUp="false" diagonalDown="false">
      <left/>
      <right/>
      <top/>
      <bottom/>
      <diagonal/>
    </border>
    <border diagonalUp="false" diagonalDown="false">
      <left/>
      <right/>
      <top/>
      <bottom style="thin">
        <color rgb="FFC9D4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4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20"/>
    <col collapsed="false" customWidth="true" hidden="false" outlineLevel="0" max="4" min="4" style="0" width="7"/>
    <col collapsed="false" customWidth="true" hidden="false" outlineLevel="0" max="5" min="5" style="0" width="60"/>
    <col collapsed="false" customWidth="true" hidden="false" outlineLevel="0" max="6" min="6" style="0" width="30"/>
    <col collapsed="false" customWidth="true" hidden="false" outlineLevel="0" max="7" min="7" style="0" width="26"/>
    <col collapsed="false" customWidth="true" hidden="false" outlineLevel="0" max="8" min="8" style="0" width="30"/>
    <col collapsed="false" customWidth="true" hidden="false" outlineLevel="0" max="9" min="9" style="0" width="40"/>
    <col collapsed="false" customWidth="true" hidden="false" outlineLevel="0" max="10" min="10" style="0" width="70"/>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row>
    <row r="2" customFormat="false" ht="22.35" hidden="false" customHeight="false" outlineLevel="0" collapsed="false">
      <c r="A2" s="2" t="n">
        <v>1</v>
      </c>
      <c r="B2" s="2" t="s">
        <v>10</v>
      </c>
      <c r="C2" s="2" t="s">
        <v>11</v>
      </c>
      <c r="D2" s="2" t="n">
        <v>2025</v>
      </c>
      <c r="E2" s="2" t="s">
        <v>12</v>
      </c>
      <c r="F2" s="2" t="s">
        <v>13</v>
      </c>
      <c r="G2" s="2" t="s">
        <v>14</v>
      </c>
      <c r="H2" s="2" t="s">
        <v>15</v>
      </c>
      <c r="I2" s="2" t="s">
        <v>16</v>
      </c>
      <c r="J2" s="2" t="s">
        <v>17</v>
      </c>
    </row>
    <row r="3" customFormat="false" ht="22.35" hidden="false" customHeight="false" outlineLevel="0" collapsed="false">
      <c r="A3" s="2" t="n">
        <v>2</v>
      </c>
      <c r="B3" s="2" t="s">
        <v>18</v>
      </c>
      <c r="C3" s="2" t="s">
        <v>19</v>
      </c>
      <c r="D3" s="2" t="n">
        <v>2025</v>
      </c>
      <c r="E3" s="2" t="s">
        <v>20</v>
      </c>
      <c r="F3" s="2" t="s">
        <v>21</v>
      </c>
      <c r="G3" s="2" t="s">
        <v>14</v>
      </c>
      <c r="H3" s="2" t="s">
        <v>15</v>
      </c>
      <c r="I3" s="2" t="s">
        <v>16</v>
      </c>
      <c r="J3" s="2" t="s">
        <v>22</v>
      </c>
    </row>
    <row r="4" customFormat="false" ht="22.35" hidden="false" customHeight="false" outlineLevel="0" collapsed="false">
      <c r="A4" s="2" t="n">
        <v>3</v>
      </c>
      <c r="B4" s="2" t="s">
        <v>23</v>
      </c>
      <c r="C4" s="2" t="s">
        <v>24</v>
      </c>
      <c r="D4" s="2" t="n">
        <v>2024</v>
      </c>
      <c r="E4" s="2" t="s">
        <v>25</v>
      </c>
      <c r="F4" s="2" t="s">
        <v>26</v>
      </c>
      <c r="G4" s="2" t="s">
        <v>14</v>
      </c>
      <c r="H4" s="2" t="s">
        <v>27</v>
      </c>
      <c r="I4" s="2" t="s">
        <v>28</v>
      </c>
      <c r="J4" s="2" t="s">
        <v>29</v>
      </c>
    </row>
    <row r="5" customFormat="false" ht="22.35" hidden="false" customHeight="false" outlineLevel="0" collapsed="false">
      <c r="A5" s="2" t="n">
        <v>4</v>
      </c>
      <c r="B5" s="2" t="s">
        <v>30</v>
      </c>
      <c r="C5" s="2" t="s">
        <v>31</v>
      </c>
      <c r="D5" s="2" t="n">
        <v>2026</v>
      </c>
      <c r="E5" s="2" t="s">
        <v>32</v>
      </c>
      <c r="F5" s="2" t="s">
        <v>33</v>
      </c>
      <c r="G5" s="2" t="s">
        <v>14</v>
      </c>
      <c r="H5" s="2" t="s">
        <v>34</v>
      </c>
      <c r="I5" s="2" t="s">
        <v>35</v>
      </c>
      <c r="J5" s="2" t="s">
        <v>36</v>
      </c>
    </row>
    <row r="6" customFormat="false" ht="22.35" hidden="false" customHeight="false" outlineLevel="0" collapsed="false">
      <c r="A6" s="2" t="n">
        <v>5</v>
      </c>
      <c r="B6" s="2" t="s">
        <v>37</v>
      </c>
      <c r="C6" s="2" t="s">
        <v>38</v>
      </c>
      <c r="D6" s="2" t="n">
        <v>2021</v>
      </c>
      <c r="E6" s="2" t="s">
        <v>39</v>
      </c>
      <c r="F6" s="2" t="s">
        <v>40</v>
      </c>
      <c r="G6" s="2" t="s">
        <v>14</v>
      </c>
      <c r="H6" s="2" t="s">
        <v>34</v>
      </c>
      <c r="I6" s="2" t="s">
        <v>35</v>
      </c>
      <c r="J6" s="2" t="s">
        <v>36</v>
      </c>
    </row>
    <row r="7" customFormat="false" ht="22.35" hidden="false" customHeight="false" outlineLevel="0" collapsed="false">
      <c r="A7" s="2" t="n">
        <v>6</v>
      </c>
      <c r="B7" s="2" t="s">
        <v>41</v>
      </c>
      <c r="C7" s="2" t="s">
        <v>42</v>
      </c>
      <c r="D7" s="2" t="n">
        <v>2024</v>
      </c>
      <c r="E7" s="2" t="s">
        <v>43</v>
      </c>
      <c r="F7" s="2" t="s">
        <v>44</v>
      </c>
      <c r="G7" s="2" t="s">
        <v>14</v>
      </c>
      <c r="H7" s="2" t="s">
        <v>34</v>
      </c>
      <c r="I7" s="2" t="s">
        <v>35</v>
      </c>
      <c r="J7" s="2" t="s">
        <v>36</v>
      </c>
    </row>
    <row r="8" customFormat="false" ht="32.8" hidden="false" customHeight="false" outlineLevel="0" collapsed="false">
      <c r="A8" s="2" t="n">
        <v>7</v>
      </c>
      <c r="B8" s="2" t="s">
        <v>45</v>
      </c>
      <c r="C8" s="2" t="s">
        <v>46</v>
      </c>
      <c r="D8" s="2" t="n">
        <v>2025</v>
      </c>
      <c r="E8" s="2" t="s">
        <v>47</v>
      </c>
      <c r="F8" s="2" t="s">
        <v>44</v>
      </c>
      <c r="G8" s="2" t="s">
        <v>14</v>
      </c>
      <c r="H8" s="2" t="s">
        <v>34</v>
      </c>
      <c r="I8" s="2" t="s">
        <v>35</v>
      </c>
      <c r="J8" s="2" t="s">
        <v>36</v>
      </c>
    </row>
    <row r="9" customFormat="false" ht="22.35" hidden="false" customHeight="false" outlineLevel="0" collapsed="false">
      <c r="A9" s="2" t="n">
        <v>8</v>
      </c>
      <c r="B9" s="2" t="s">
        <v>48</v>
      </c>
      <c r="C9" s="2" t="s">
        <v>49</v>
      </c>
      <c r="D9" s="2" t="n">
        <v>2023</v>
      </c>
      <c r="E9" s="2" t="s">
        <v>50</v>
      </c>
      <c r="F9" s="2" t="s">
        <v>51</v>
      </c>
      <c r="G9" s="2" t="s">
        <v>14</v>
      </c>
      <c r="H9" s="2" t="s">
        <v>34</v>
      </c>
      <c r="I9" s="2" t="s">
        <v>35</v>
      </c>
      <c r="J9" s="2" t="s">
        <v>36</v>
      </c>
    </row>
    <row r="10" customFormat="false" ht="22.35" hidden="false" customHeight="false" outlineLevel="0" collapsed="false">
      <c r="A10" s="2" t="n">
        <v>9</v>
      </c>
      <c r="B10" s="2" t="s">
        <v>52</v>
      </c>
      <c r="C10" s="2" t="s">
        <v>53</v>
      </c>
      <c r="D10" s="2" t="n">
        <v>2025</v>
      </c>
      <c r="E10" s="2" t="s">
        <v>54</v>
      </c>
      <c r="F10" s="2" t="s">
        <v>55</v>
      </c>
      <c r="G10" s="2" t="s">
        <v>14</v>
      </c>
      <c r="H10" s="2" t="s">
        <v>34</v>
      </c>
      <c r="I10" s="2" t="s">
        <v>35</v>
      </c>
      <c r="J10" s="2" t="s">
        <v>56</v>
      </c>
    </row>
    <row r="11" customFormat="false" ht="22.35" hidden="false" customHeight="false" outlineLevel="0" collapsed="false">
      <c r="A11" s="2" t="n">
        <v>10</v>
      </c>
      <c r="B11" s="2" t="s">
        <v>57</v>
      </c>
      <c r="C11" s="2" t="s">
        <v>58</v>
      </c>
      <c r="D11" s="2" t="n">
        <v>2022</v>
      </c>
      <c r="E11" s="2" t="s">
        <v>59</v>
      </c>
      <c r="F11" s="2" t="s">
        <v>60</v>
      </c>
      <c r="G11" s="2" t="s">
        <v>14</v>
      </c>
      <c r="H11" s="2" t="s">
        <v>34</v>
      </c>
      <c r="I11" s="2" t="s">
        <v>35</v>
      </c>
      <c r="J11" s="2" t="s">
        <v>56</v>
      </c>
    </row>
    <row r="12" customFormat="false" ht="22.35" hidden="false" customHeight="false" outlineLevel="0" collapsed="false">
      <c r="A12" s="2" t="n">
        <v>11</v>
      </c>
      <c r="B12" s="2" t="s">
        <v>61</v>
      </c>
      <c r="C12" s="2" t="s">
        <v>62</v>
      </c>
      <c r="D12" s="2" t="n">
        <v>2024</v>
      </c>
      <c r="E12" s="2" t="s">
        <v>63</v>
      </c>
      <c r="F12" s="2" t="s">
        <v>60</v>
      </c>
      <c r="G12" s="2" t="s">
        <v>14</v>
      </c>
      <c r="H12" s="2" t="s">
        <v>34</v>
      </c>
      <c r="I12" s="2" t="s">
        <v>35</v>
      </c>
      <c r="J12" s="2" t="s">
        <v>56</v>
      </c>
    </row>
    <row r="13" customFormat="false" ht="22.35" hidden="false" customHeight="false" outlineLevel="0" collapsed="false">
      <c r="A13" s="2" t="n">
        <v>12</v>
      </c>
      <c r="B13" s="2" t="s">
        <v>64</v>
      </c>
      <c r="C13" s="2" t="s">
        <v>65</v>
      </c>
      <c r="D13" s="2" t="n">
        <v>2024</v>
      </c>
      <c r="E13" s="2" t="s">
        <v>66</v>
      </c>
      <c r="F13" s="2" t="s">
        <v>67</v>
      </c>
      <c r="G13" s="2" t="s">
        <v>14</v>
      </c>
      <c r="H13" s="2" t="s">
        <v>34</v>
      </c>
      <c r="I13" s="2" t="s">
        <v>35</v>
      </c>
      <c r="J13" s="2" t="s">
        <v>36</v>
      </c>
    </row>
    <row r="14" customFormat="false" ht="22.35" hidden="false" customHeight="false" outlineLevel="0" collapsed="false">
      <c r="A14" s="2" t="n">
        <v>13</v>
      </c>
      <c r="B14" s="2" t="s">
        <v>68</v>
      </c>
      <c r="C14" s="2" t="s">
        <v>69</v>
      </c>
      <c r="D14" s="2" t="n">
        <v>2024</v>
      </c>
      <c r="E14" s="2" t="s">
        <v>70</v>
      </c>
      <c r="F14" s="2" t="s">
        <v>71</v>
      </c>
      <c r="G14" s="2" t="s">
        <v>14</v>
      </c>
      <c r="H14" s="2" t="s">
        <v>34</v>
      </c>
      <c r="I14" s="2" t="s">
        <v>35</v>
      </c>
      <c r="J14" s="2" t="s">
        <v>36</v>
      </c>
    </row>
    <row r="15" customFormat="false" ht="32.8" hidden="false" customHeight="false" outlineLevel="0" collapsed="false">
      <c r="A15" s="2" t="n">
        <v>14</v>
      </c>
      <c r="B15" s="2" t="s">
        <v>72</v>
      </c>
      <c r="C15" s="2" t="s">
        <v>73</v>
      </c>
      <c r="D15" s="2" t="n">
        <v>2025</v>
      </c>
      <c r="E15" s="2" t="s">
        <v>74</v>
      </c>
      <c r="F15" s="2" t="s">
        <v>75</v>
      </c>
      <c r="G15" s="2" t="s">
        <v>14</v>
      </c>
      <c r="H15" s="2" t="s">
        <v>76</v>
      </c>
      <c r="I15" s="2" t="s">
        <v>77</v>
      </c>
      <c r="J15" s="2" t="s">
        <v>78</v>
      </c>
    </row>
    <row r="16" customFormat="false" ht="22.35" hidden="false" customHeight="false" outlineLevel="0" collapsed="false">
      <c r="A16" s="2" t="n">
        <v>15</v>
      </c>
      <c r="B16" s="2" t="s">
        <v>79</v>
      </c>
      <c r="C16" s="2" t="s">
        <v>80</v>
      </c>
      <c r="D16" s="2" t="n">
        <v>2024</v>
      </c>
      <c r="E16" s="2" t="s">
        <v>81</v>
      </c>
      <c r="F16" s="2" t="s">
        <v>82</v>
      </c>
      <c r="G16" s="2" t="s">
        <v>14</v>
      </c>
      <c r="H16" s="2" t="s">
        <v>83</v>
      </c>
      <c r="I16" s="2" t="s">
        <v>84</v>
      </c>
      <c r="J16" s="2" t="s">
        <v>85</v>
      </c>
    </row>
    <row r="17" customFormat="false" ht="22.35" hidden="false" customHeight="false" outlineLevel="0" collapsed="false">
      <c r="A17" s="2" t="n">
        <v>16</v>
      </c>
      <c r="B17" s="2" t="s">
        <v>86</v>
      </c>
      <c r="C17" s="2" t="s">
        <v>87</v>
      </c>
      <c r="D17" s="2" t="n">
        <v>2026</v>
      </c>
      <c r="E17" s="2" t="s">
        <v>88</v>
      </c>
      <c r="F17" s="2" t="s">
        <v>89</v>
      </c>
      <c r="G17" s="2" t="s">
        <v>14</v>
      </c>
      <c r="H17" s="2" t="s">
        <v>83</v>
      </c>
      <c r="I17" s="2" t="s">
        <v>84</v>
      </c>
      <c r="J17" s="2" t="s">
        <v>90</v>
      </c>
    </row>
    <row r="18" customFormat="false" ht="32.8" hidden="false" customHeight="false" outlineLevel="0" collapsed="false">
      <c r="A18" s="2" t="n">
        <v>17</v>
      </c>
      <c r="B18" s="2" t="s">
        <v>91</v>
      </c>
      <c r="C18" s="2" t="s">
        <v>92</v>
      </c>
      <c r="D18" s="2" t="n">
        <v>2025</v>
      </c>
      <c r="E18" s="2" t="s">
        <v>93</v>
      </c>
      <c r="F18" s="2" t="s">
        <v>94</v>
      </c>
      <c r="G18" s="2" t="s">
        <v>95</v>
      </c>
      <c r="H18" s="2" t="s">
        <v>76</v>
      </c>
      <c r="I18" s="2" t="s">
        <v>77</v>
      </c>
      <c r="J18" s="2" t="s">
        <v>96</v>
      </c>
    </row>
    <row r="19" customFormat="false" ht="22.35" hidden="false" customHeight="false" outlineLevel="0" collapsed="false">
      <c r="A19" s="2" t="n">
        <v>18</v>
      </c>
      <c r="B19" s="2" t="s">
        <v>97</v>
      </c>
      <c r="C19" s="2" t="s">
        <v>98</v>
      </c>
      <c r="D19" s="2" t="n">
        <v>2025</v>
      </c>
      <c r="E19" s="2" t="s">
        <v>99</v>
      </c>
      <c r="F19" s="2" t="s">
        <v>100</v>
      </c>
      <c r="G19" s="2" t="s">
        <v>101</v>
      </c>
      <c r="H19" s="2" t="s">
        <v>102</v>
      </c>
      <c r="I19" s="2" t="s">
        <v>103</v>
      </c>
      <c r="J19" s="2" t="s">
        <v>104</v>
      </c>
    </row>
    <row r="20" customFormat="false" ht="22.35" hidden="false" customHeight="false" outlineLevel="0" collapsed="false">
      <c r="A20" s="2" t="n">
        <v>19</v>
      </c>
      <c r="B20" s="2" t="s">
        <v>105</v>
      </c>
      <c r="C20" s="2" t="s">
        <v>106</v>
      </c>
      <c r="D20" s="2" t="n">
        <v>2026</v>
      </c>
      <c r="E20" s="2" t="s">
        <v>107</v>
      </c>
      <c r="F20" s="2" t="s">
        <v>108</v>
      </c>
      <c r="G20" s="2" t="s">
        <v>101</v>
      </c>
      <c r="H20" s="2" t="s">
        <v>102</v>
      </c>
      <c r="I20" s="2" t="s">
        <v>103</v>
      </c>
      <c r="J20" s="2" t="s">
        <v>109</v>
      </c>
    </row>
    <row r="21" customFormat="false" ht="22.35" hidden="false" customHeight="false" outlineLevel="0" collapsed="false">
      <c r="A21" s="2" t="n">
        <v>20</v>
      </c>
      <c r="B21" s="2" t="s">
        <v>110</v>
      </c>
      <c r="C21" s="2" t="s">
        <v>111</v>
      </c>
      <c r="D21" s="2" t="n">
        <v>2023</v>
      </c>
      <c r="E21" s="2" t="s">
        <v>112</v>
      </c>
      <c r="F21" s="2" t="s">
        <v>113</v>
      </c>
      <c r="G21" s="2" t="s">
        <v>101</v>
      </c>
      <c r="H21" s="2" t="s">
        <v>114</v>
      </c>
      <c r="I21" s="2" t="s">
        <v>115</v>
      </c>
      <c r="J21" s="2" t="s">
        <v>116</v>
      </c>
    </row>
    <row r="22" customFormat="false" ht="22.35" hidden="false" customHeight="false" outlineLevel="0" collapsed="false">
      <c r="A22" s="2" t="n">
        <v>21</v>
      </c>
      <c r="B22" s="2" t="s">
        <v>117</v>
      </c>
      <c r="C22" s="2" t="s">
        <v>118</v>
      </c>
      <c r="D22" s="2" t="n">
        <v>2025</v>
      </c>
      <c r="E22" s="2" t="s">
        <v>119</v>
      </c>
      <c r="F22" s="2" t="s">
        <v>120</v>
      </c>
      <c r="G22" s="2" t="s">
        <v>101</v>
      </c>
      <c r="H22" s="2" t="s">
        <v>114</v>
      </c>
      <c r="I22" s="2" t="s">
        <v>115</v>
      </c>
      <c r="J22" s="2" t="s">
        <v>121</v>
      </c>
    </row>
    <row r="23" customFormat="false" ht="22.35" hidden="false" customHeight="false" outlineLevel="0" collapsed="false">
      <c r="A23" s="2" t="n">
        <v>22</v>
      </c>
      <c r="B23" s="2" t="s">
        <v>122</v>
      </c>
      <c r="C23" s="2" t="s">
        <v>123</v>
      </c>
      <c r="D23" s="2" t="n">
        <v>2025</v>
      </c>
      <c r="E23" s="2" t="s">
        <v>124</v>
      </c>
      <c r="F23" s="2" t="s">
        <v>21</v>
      </c>
      <c r="G23" s="2" t="s">
        <v>101</v>
      </c>
      <c r="H23" s="2" t="s">
        <v>125</v>
      </c>
      <c r="I23" s="2" t="s">
        <v>126</v>
      </c>
      <c r="J23" s="2" t="s">
        <v>127</v>
      </c>
    </row>
    <row r="24" customFormat="false" ht="22.35" hidden="false" customHeight="false" outlineLevel="0" collapsed="false">
      <c r="A24" s="2" t="n">
        <v>23</v>
      </c>
      <c r="B24" s="2" t="s">
        <v>128</v>
      </c>
      <c r="C24" s="2" t="s">
        <v>129</v>
      </c>
      <c r="D24" s="2" t="n">
        <v>2025</v>
      </c>
      <c r="E24" s="2" t="s">
        <v>130</v>
      </c>
      <c r="F24" s="2" t="s">
        <v>21</v>
      </c>
      <c r="G24" s="2" t="s">
        <v>101</v>
      </c>
      <c r="H24" s="2" t="s">
        <v>125</v>
      </c>
      <c r="I24" s="2" t="s">
        <v>126</v>
      </c>
      <c r="J24" s="2" t="s">
        <v>131</v>
      </c>
    </row>
    <row r="25" customFormat="false" ht="22.35" hidden="false" customHeight="false" outlineLevel="0" collapsed="false">
      <c r="A25" s="2" t="n">
        <v>24</v>
      </c>
      <c r="B25" s="2" t="s">
        <v>132</v>
      </c>
      <c r="C25" s="2" t="s">
        <v>133</v>
      </c>
      <c r="D25" s="2" t="n">
        <v>2024</v>
      </c>
      <c r="E25" s="2" t="s">
        <v>134</v>
      </c>
      <c r="F25" s="2" t="s">
        <v>135</v>
      </c>
      <c r="G25" s="2" t="s">
        <v>101</v>
      </c>
      <c r="H25" s="2" t="s">
        <v>125</v>
      </c>
      <c r="I25" s="2" t="s">
        <v>126</v>
      </c>
      <c r="J25" s="2" t="s">
        <v>136</v>
      </c>
    </row>
    <row r="26" customFormat="false" ht="22.35" hidden="false" customHeight="false" outlineLevel="0" collapsed="false">
      <c r="A26" s="2" t="n">
        <v>25</v>
      </c>
      <c r="B26" s="2" t="s">
        <v>137</v>
      </c>
      <c r="C26" s="2" t="s">
        <v>138</v>
      </c>
      <c r="D26" s="2" t="n">
        <v>2026</v>
      </c>
      <c r="E26" s="2" t="s">
        <v>139</v>
      </c>
      <c r="F26" s="2" t="s">
        <v>140</v>
      </c>
      <c r="G26" s="2" t="s">
        <v>101</v>
      </c>
      <c r="H26" s="2" t="s">
        <v>125</v>
      </c>
      <c r="I26" s="2" t="s">
        <v>126</v>
      </c>
      <c r="J26" s="2" t="s">
        <v>141</v>
      </c>
    </row>
    <row r="27" customFormat="false" ht="22.35" hidden="false" customHeight="false" outlineLevel="0" collapsed="false">
      <c r="A27" s="2" t="n">
        <v>26</v>
      </c>
      <c r="B27" s="2" t="s">
        <v>142</v>
      </c>
      <c r="C27" s="2" t="s">
        <v>143</v>
      </c>
      <c r="D27" s="2" t="n">
        <v>2024</v>
      </c>
      <c r="E27" s="2" t="s">
        <v>144</v>
      </c>
      <c r="F27" s="2" t="s">
        <v>145</v>
      </c>
      <c r="G27" s="2" t="s">
        <v>101</v>
      </c>
      <c r="H27" s="2" t="s">
        <v>125</v>
      </c>
      <c r="I27" s="2" t="s">
        <v>126</v>
      </c>
      <c r="J27" s="2" t="s">
        <v>146</v>
      </c>
    </row>
    <row r="28" customFormat="false" ht="22.35" hidden="false" customHeight="false" outlineLevel="0" collapsed="false">
      <c r="A28" s="2" t="n">
        <v>27</v>
      </c>
      <c r="B28" s="2" t="s">
        <v>147</v>
      </c>
      <c r="C28" s="2" t="s">
        <v>148</v>
      </c>
      <c r="D28" s="2" t="n">
        <v>2025</v>
      </c>
      <c r="E28" s="2" t="s">
        <v>149</v>
      </c>
      <c r="F28" s="2" t="s">
        <v>150</v>
      </c>
      <c r="G28" s="2" t="s">
        <v>101</v>
      </c>
      <c r="H28" s="2" t="s">
        <v>125</v>
      </c>
      <c r="I28" s="2" t="s">
        <v>126</v>
      </c>
      <c r="J28" s="2" t="s">
        <v>151</v>
      </c>
    </row>
    <row r="29" customFormat="false" ht="22.35" hidden="false" customHeight="false" outlineLevel="0" collapsed="false">
      <c r="A29" s="2" t="n">
        <v>28</v>
      </c>
      <c r="B29" s="2" t="s">
        <v>152</v>
      </c>
      <c r="C29" s="2" t="s">
        <v>153</v>
      </c>
      <c r="D29" s="2" t="n">
        <v>2025</v>
      </c>
      <c r="E29" s="2" t="s">
        <v>154</v>
      </c>
      <c r="F29" s="2" t="s">
        <v>155</v>
      </c>
      <c r="G29" s="2" t="s">
        <v>101</v>
      </c>
      <c r="H29" s="2" t="s">
        <v>125</v>
      </c>
      <c r="I29" s="2" t="s">
        <v>126</v>
      </c>
      <c r="J29" s="2" t="s">
        <v>156</v>
      </c>
    </row>
    <row r="30" customFormat="false" ht="22.35" hidden="false" customHeight="false" outlineLevel="0" collapsed="false">
      <c r="A30" s="2" t="n">
        <v>29</v>
      </c>
      <c r="B30" s="2" t="s">
        <v>157</v>
      </c>
      <c r="C30" s="2" t="s">
        <v>158</v>
      </c>
      <c r="D30" s="2" t="n">
        <v>2026</v>
      </c>
      <c r="E30" s="2" t="s">
        <v>159</v>
      </c>
      <c r="F30" s="2" t="s">
        <v>160</v>
      </c>
      <c r="G30" s="2" t="s">
        <v>101</v>
      </c>
      <c r="H30" s="2" t="s">
        <v>125</v>
      </c>
      <c r="I30" s="2" t="s">
        <v>126</v>
      </c>
      <c r="J30" s="2" t="s">
        <v>161</v>
      </c>
    </row>
    <row r="31" customFormat="false" ht="22.35" hidden="false" customHeight="false" outlineLevel="0" collapsed="false">
      <c r="A31" s="2" t="n">
        <v>30</v>
      </c>
      <c r="B31" s="2" t="s">
        <v>162</v>
      </c>
      <c r="C31" s="2" t="s">
        <v>163</v>
      </c>
      <c r="D31" s="2" t="n">
        <v>2026</v>
      </c>
      <c r="E31" s="2" t="s">
        <v>164</v>
      </c>
      <c r="F31" s="2" t="s">
        <v>165</v>
      </c>
      <c r="G31" s="2" t="s">
        <v>101</v>
      </c>
      <c r="H31" s="2" t="s">
        <v>125</v>
      </c>
      <c r="I31" s="2" t="s">
        <v>126</v>
      </c>
      <c r="J31" s="2" t="s">
        <v>166</v>
      </c>
    </row>
    <row r="32" customFormat="false" ht="15" hidden="false" customHeight="false" outlineLevel="0" collapsed="false">
      <c r="A32" s="2" t="n">
        <v>31</v>
      </c>
      <c r="B32" s="2" t="s">
        <v>167</v>
      </c>
      <c r="C32" s="2" t="s">
        <v>168</v>
      </c>
      <c r="D32" s="2" t="n">
        <v>2023</v>
      </c>
      <c r="E32" s="2" t="s">
        <v>169</v>
      </c>
      <c r="F32" s="2" t="s">
        <v>44</v>
      </c>
      <c r="G32" s="2" t="s">
        <v>101</v>
      </c>
      <c r="H32" s="2" t="s">
        <v>170</v>
      </c>
      <c r="I32" s="2" t="s">
        <v>171</v>
      </c>
      <c r="J32" s="2" t="s">
        <v>172</v>
      </c>
    </row>
    <row r="33" customFormat="false" ht="22.35" hidden="false" customHeight="false" outlineLevel="0" collapsed="false">
      <c r="A33" s="2" t="n">
        <v>32</v>
      </c>
      <c r="B33" s="2" t="s">
        <v>173</v>
      </c>
      <c r="C33" s="2" t="s">
        <v>174</v>
      </c>
      <c r="D33" s="2" t="n">
        <v>2025</v>
      </c>
      <c r="E33" s="2" t="s">
        <v>175</v>
      </c>
      <c r="F33" s="2" t="s">
        <v>44</v>
      </c>
      <c r="G33" s="2" t="s">
        <v>101</v>
      </c>
      <c r="H33" s="2" t="s">
        <v>170</v>
      </c>
      <c r="I33" s="2" t="s">
        <v>171</v>
      </c>
      <c r="J33" s="2" t="s">
        <v>176</v>
      </c>
    </row>
    <row r="34" customFormat="false" ht="22.35" hidden="false" customHeight="false" outlineLevel="0" collapsed="false">
      <c r="A34" s="2" t="n">
        <v>33</v>
      </c>
      <c r="B34" s="2" t="s">
        <v>177</v>
      </c>
      <c r="C34" s="2" t="s">
        <v>178</v>
      </c>
      <c r="D34" s="2" t="n">
        <v>2026</v>
      </c>
      <c r="E34" s="2" t="s">
        <v>179</v>
      </c>
      <c r="F34" s="2" t="s">
        <v>44</v>
      </c>
      <c r="G34" s="2" t="s">
        <v>101</v>
      </c>
      <c r="H34" s="2" t="s">
        <v>170</v>
      </c>
      <c r="I34" s="2" t="s">
        <v>171</v>
      </c>
      <c r="J34" s="2" t="s">
        <v>180</v>
      </c>
    </row>
    <row r="35" customFormat="false" ht="22.35" hidden="false" customHeight="false" outlineLevel="0" collapsed="false">
      <c r="A35" s="2" t="n">
        <v>34</v>
      </c>
      <c r="B35" s="2" t="s">
        <v>181</v>
      </c>
      <c r="C35" s="2" t="s">
        <v>182</v>
      </c>
      <c r="D35" s="2" t="n">
        <v>2025</v>
      </c>
      <c r="E35" s="2" t="s">
        <v>183</v>
      </c>
      <c r="F35" s="2" t="s">
        <v>150</v>
      </c>
      <c r="G35" s="2" t="s">
        <v>101</v>
      </c>
      <c r="H35" s="2" t="s">
        <v>170</v>
      </c>
      <c r="I35" s="2" t="s">
        <v>171</v>
      </c>
      <c r="J35" s="2" t="s">
        <v>184</v>
      </c>
    </row>
    <row r="36" customFormat="false" ht="22.35" hidden="false" customHeight="false" outlineLevel="0" collapsed="false">
      <c r="A36" s="2" t="n">
        <v>35</v>
      </c>
      <c r="B36" s="2" t="s">
        <v>185</v>
      </c>
      <c r="C36" s="2" t="s">
        <v>186</v>
      </c>
      <c r="D36" s="2" t="n">
        <v>2024</v>
      </c>
      <c r="E36" s="2" t="s">
        <v>187</v>
      </c>
      <c r="F36" s="2" t="s">
        <v>188</v>
      </c>
      <c r="G36" s="2" t="s">
        <v>101</v>
      </c>
      <c r="H36" s="2" t="s">
        <v>170</v>
      </c>
      <c r="I36" s="2" t="s">
        <v>171</v>
      </c>
      <c r="J36" s="2" t="s">
        <v>189</v>
      </c>
    </row>
    <row r="37" customFormat="false" ht="22.35" hidden="false" customHeight="false" outlineLevel="0" collapsed="false">
      <c r="A37" s="2" t="n">
        <v>36</v>
      </c>
      <c r="B37" s="2" t="s">
        <v>190</v>
      </c>
      <c r="C37" s="2" t="s">
        <v>191</v>
      </c>
      <c r="D37" s="2" t="n">
        <v>2026</v>
      </c>
      <c r="E37" s="2" t="s">
        <v>192</v>
      </c>
      <c r="F37" s="2" t="s">
        <v>193</v>
      </c>
      <c r="G37" s="2" t="s">
        <v>101</v>
      </c>
      <c r="H37" s="2" t="s">
        <v>170</v>
      </c>
      <c r="I37" s="2" t="s">
        <v>171</v>
      </c>
      <c r="J37" s="2" t="s">
        <v>194</v>
      </c>
    </row>
    <row r="38" customFormat="false" ht="22.35" hidden="false" customHeight="false" outlineLevel="0" collapsed="false">
      <c r="A38" s="2" t="n">
        <v>37</v>
      </c>
      <c r="B38" s="2" t="s">
        <v>195</v>
      </c>
      <c r="C38" s="2" t="s">
        <v>196</v>
      </c>
      <c r="D38" s="2" t="n">
        <v>2025</v>
      </c>
      <c r="E38" s="2" t="s">
        <v>197</v>
      </c>
      <c r="F38" s="2" t="s">
        <v>198</v>
      </c>
      <c r="G38" s="2" t="s">
        <v>101</v>
      </c>
      <c r="H38" s="2" t="s">
        <v>170</v>
      </c>
      <c r="I38" s="2" t="s">
        <v>171</v>
      </c>
      <c r="J38" s="2" t="s">
        <v>199</v>
      </c>
    </row>
    <row r="39" customFormat="false" ht="22.35" hidden="false" customHeight="false" outlineLevel="0" collapsed="false">
      <c r="A39" s="2" t="n">
        <v>38</v>
      </c>
      <c r="B39" s="2" t="s">
        <v>200</v>
      </c>
      <c r="C39" s="2" t="s">
        <v>201</v>
      </c>
      <c r="D39" s="2" t="n">
        <v>2022</v>
      </c>
      <c r="E39" s="2" t="s">
        <v>202</v>
      </c>
      <c r="F39" s="2" t="s">
        <v>203</v>
      </c>
      <c r="G39" s="2" t="s">
        <v>101</v>
      </c>
      <c r="H39" s="2" t="s">
        <v>170</v>
      </c>
      <c r="I39" s="2" t="s">
        <v>171</v>
      </c>
      <c r="J39" s="2" t="s">
        <v>204</v>
      </c>
    </row>
    <row r="40" customFormat="false" ht="22.35" hidden="false" customHeight="false" outlineLevel="0" collapsed="false">
      <c r="A40" s="2" t="n">
        <v>39</v>
      </c>
      <c r="B40" s="2" t="s">
        <v>205</v>
      </c>
      <c r="C40" s="2" t="s">
        <v>174</v>
      </c>
      <c r="D40" s="2" t="n">
        <v>2025</v>
      </c>
      <c r="E40" s="2" t="s">
        <v>206</v>
      </c>
      <c r="F40" s="2" t="s">
        <v>207</v>
      </c>
      <c r="G40" s="2" t="s">
        <v>101</v>
      </c>
      <c r="H40" s="2" t="s">
        <v>170</v>
      </c>
      <c r="I40" s="2" t="s">
        <v>171</v>
      </c>
      <c r="J40" s="2" t="s">
        <v>208</v>
      </c>
    </row>
    <row r="41" customFormat="false" ht="22.35" hidden="false" customHeight="false" outlineLevel="0" collapsed="false">
      <c r="A41" s="2" t="n">
        <v>40</v>
      </c>
      <c r="B41" s="2" t="s">
        <v>209</v>
      </c>
      <c r="C41" s="2" t="s">
        <v>210</v>
      </c>
      <c r="D41" s="2" t="n">
        <v>2025</v>
      </c>
      <c r="E41" s="2" t="s">
        <v>211</v>
      </c>
      <c r="F41" s="2" t="s">
        <v>21</v>
      </c>
      <c r="G41" s="2" t="s">
        <v>101</v>
      </c>
      <c r="H41" s="2" t="s">
        <v>83</v>
      </c>
      <c r="I41" s="2" t="s">
        <v>84</v>
      </c>
      <c r="J41" s="2" t="s">
        <v>212</v>
      </c>
    </row>
    <row r="42" customFormat="false" ht="22.35" hidden="false" customHeight="false" outlineLevel="0" collapsed="false">
      <c r="A42" s="2" t="n">
        <v>41</v>
      </c>
      <c r="B42" s="2" t="s">
        <v>213</v>
      </c>
      <c r="C42" s="2" t="s">
        <v>214</v>
      </c>
      <c r="D42" s="2" t="n">
        <v>2025</v>
      </c>
      <c r="E42" s="2" t="s">
        <v>215</v>
      </c>
      <c r="F42" s="2" t="s">
        <v>216</v>
      </c>
      <c r="G42" s="2" t="s">
        <v>101</v>
      </c>
      <c r="H42" s="2" t="s">
        <v>83</v>
      </c>
      <c r="I42" s="2" t="s">
        <v>217</v>
      </c>
      <c r="J42" s="2" t="s">
        <v>218</v>
      </c>
    </row>
    <row r="43" customFormat="false" ht="15" hidden="false" customHeight="false" outlineLevel="0" collapsed="false">
      <c r="A43" s="2" t="n">
        <v>42</v>
      </c>
      <c r="B43" s="2" t="s">
        <v>219</v>
      </c>
      <c r="C43" s="2" t="s">
        <v>220</v>
      </c>
      <c r="D43" s="2" t="n">
        <v>2023</v>
      </c>
      <c r="E43" s="2" t="s">
        <v>221</v>
      </c>
      <c r="F43" s="2" t="s">
        <v>222</v>
      </c>
      <c r="G43" s="2" t="s">
        <v>101</v>
      </c>
      <c r="H43" s="2" t="s">
        <v>83</v>
      </c>
      <c r="I43" s="2" t="s">
        <v>84</v>
      </c>
      <c r="J43" s="2" t="s">
        <v>223</v>
      </c>
    </row>
    <row r="44" customFormat="false" ht="15" hidden="false" customHeight="false" outlineLevel="0" collapsed="false">
      <c r="A44" s="2" t="n">
        <v>43</v>
      </c>
      <c r="B44" s="2" t="s">
        <v>224</v>
      </c>
      <c r="C44" s="2" t="s">
        <v>225</v>
      </c>
      <c r="D44" s="2" t="n">
        <v>2025</v>
      </c>
      <c r="E44" s="2" t="s">
        <v>226</v>
      </c>
      <c r="F44" s="2" t="s">
        <v>227</v>
      </c>
      <c r="G44" s="2" t="s">
        <v>101</v>
      </c>
      <c r="H44" s="2" t="s">
        <v>83</v>
      </c>
      <c r="I44" s="2" t="s">
        <v>84</v>
      </c>
      <c r="J44" s="2" t="s">
        <v>228</v>
      </c>
    </row>
    <row r="45" customFormat="false" ht="15" hidden="false" customHeight="false" outlineLevel="0" collapsed="false">
      <c r="A45" s="2" t="n">
        <v>44</v>
      </c>
      <c r="B45" s="2" t="s">
        <v>229</v>
      </c>
      <c r="C45" s="2" t="s">
        <v>230</v>
      </c>
      <c r="D45" s="2" t="n">
        <v>2025</v>
      </c>
      <c r="E45" s="2" t="s">
        <v>231</v>
      </c>
      <c r="F45" s="2" t="s">
        <v>232</v>
      </c>
      <c r="G45" s="2" t="s">
        <v>101</v>
      </c>
      <c r="H45" s="2" t="s">
        <v>83</v>
      </c>
      <c r="I45" s="2" t="s">
        <v>84</v>
      </c>
      <c r="J45" s="2" t="s">
        <v>233</v>
      </c>
    </row>
    <row r="46" customFormat="false" ht="22.35" hidden="false" customHeight="false" outlineLevel="0" collapsed="false">
      <c r="A46" s="2" t="n">
        <v>45</v>
      </c>
      <c r="B46" s="2" t="s">
        <v>234</v>
      </c>
      <c r="C46" s="2" t="s">
        <v>235</v>
      </c>
      <c r="D46" s="2" t="n">
        <v>2022</v>
      </c>
      <c r="E46" s="2" t="s">
        <v>236</v>
      </c>
      <c r="F46" s="2" t="s">
        <v>94</v>
      </c>
      <c r="G46" s="2" t="s">
        <v>101</v>
      </c>
      <c r="H46" s="2" t="s">
        <v>83</v>
      </c>
      <c r="I46" s="2" t="s">
        <v>84</v>
      </c>
      <c r="J46" s="2" t="s">
        <v>237</v>
      </c>
    </row>
    <row r="47" customFormat="false" ht="22.35" hidden="false" customHeight="false" outlineLevel="0" collapsed="false">
      <c r="A47" s="2" t="n">
        <v>46</v>
      </c>
      <c r="B47" s="2" t="s">
        <v>238</v>
      </c>
      <c r="C47" s="2" t="s">
        <v>239</v>
      </c>
      <c r="D47" s="2" t="n">
        <v>2023</v>
      </c>
      <c r="E47" s="2" t="s">
        <v>240</v>
      </c>
      <c r="F47" s="2" t="s">
        <v>241</v>
      </c>
      <c r="G47" s="2" t="s">
        <v>101</v>
      </c>
      <c r="H47" s="2" t="s">
        <v>83</v>
      </c>
      <c r="I47" s="2" t="s">
        <v>84</v>
      </c>
      <c r="J47" s="2" t="s">
        <v>242</v>
      </c>
    </row>
    <row r="48" customFormat="false" ht="15" hidden="false" customHeight="false" outlineLevel="0" collapsed="false">
      <c r="A48" s="2" t="n">
        <v>47</v>
      </c>
      <c r="B48" s="2" t="s">
        <v>243</v>
      </c>
      <c r="C48" s="2" t="s">
        <v>244</v>
      </c>
      <c r="D48" s="2" t="n">
        <v>2024</v>
      </c>
      <c r="E48" s="2" t="s">
        <v>245</v>
      </c>
      <c r="F48" s="2" t="s">
        <v>246</v>
      </c>
      <c r="G48" s="2" t="s">
        <v>101</v>
      </c>
      <c r="H48" s="2" t="s">
        <v>83</v>
      </c>
      <c r="I48" s="2" t="s">
        <v>84</v>
      </c>
      <c r="J48" s="2" t="s">
        <v>247</v>
      </c>
    </row>
    <row r="49" customFormat="false" ht="22.35" hidden="false" customHeight="false" outlineLevel="0" collapsed="false">
      <c r="A49" s="2" t="n">
        <v>48</v>
      </c>
      <c r="B49" s="2" t="s">
        <v>248</v>
      </c>
      <c r="C49" s="2" t="s">
        <v>249</v>
      </c>
      <c r="D49" s="2" t="n">
        <v>2024</v>
      </c>
      <c r="E49" s="2" t="s">
        <v>250</v>
      </c>
      <c r="F49" s="2" t="s">
        <v>251</v>
      </c>
      <c r="G49" s="2" t="s">
        <v>101</v>
      </c>
      <c r="H49" s="2" t="s">
        <v>83</v>
      </c>
      <c r="I49" s="2" t="s">
        <v>84</v>
      </c>
      <c r="J49" s="2" t="s">
        <v>252</v>
      </c>
    </row>
  </sheetData>
  <autoFilter ref="A1:J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3" t="s">
        <v>253</v>
      </c>
    </row>
    <row r="2" customFormat="false" ht="15" hidden="false" customHeight="false" outlineLevel="0" collapsed="false">
      <c r="A2" s="4" t="s">
        <v>254</v>
      </c>
    </row>
    <row r="3" customFormat="false" ht="15" hidden="false" customHeight="false" outlineLevel="0" collapsed="false">
      <c r="A3" s="4"/>
    </row>
    <row r="4" customFormat="false" ht="15" hidden="false" customHeight="false" outlineLevel="0" collapsed="false">
      <c r="A4" s="3" t="s">
        <v>255</v>
      </c>
    </row>
    <row r="5" customFormat="false" ht="15" hidden="false" customHeight="false" outlineLevel="0" collapsed="false">
      <c r="A5" s="4" t="s">
        <v>256</v>
      </c>
    </row>
    <row r="6" customFormat="false" ht="15" hidden="false" customHeight="false" outlineLevel="0" collapsed="false">
      <c r="A6" s="4" t="s">
        <v>257</v>
      </c>
    </row>
    <row r="7" customFormat="false" ht="15" hidden="false" customHeight="false" outlineLevel="0" collapsed="false">
      <c r="A7" s="4"/>
    </row>
    <row r="8" customFormat="false" ht="15" hidden="false" customHeight="false" outlineLevel="0" collapsed="false">
      <c r="A8" s="3" t="s">
        <v>258</v>
      </c>
    </row>
    <row r="9" customFormat="false" ht="23.85" hidden="false" customHeight="false" outlineLevel="0" collapsed="false">
      <c r="A9" s="4" t="s">
        <v>259</v>
      </c>
    </row>
    <row r="10" customFormat="false" ht="23.85" hidden="false" customHeight="false" outlineLevel="0" collapsed="false">
      <c r="A10" s="4" t="s">
        <v>260</v>
      </c>
    </row>
    <row r="11" customFormat="false" ht="23.85" hidden="false" customHeight="false" outlineLevel="0" collapsed="false">
      <c r="A11" s="4" t="s">
        <v>261</v>
      </c>
    </row>
    <row r="12" customFormat="false" ht="23.85" hidden="false" customHeight="false" outlineLevel="0" collapsed="false">
      <c r="A12" s="4" t="s">
        <v>262</v>
      </c>
    </row>
    <row r="13" customFormat="false" ht="23.85" hidden="false" customHeight="false" outlineLevel="0" collapsed="false">
      <c r="A13" s="4" t="s">
        <v>263</v>
      </c>
    </row>
    <row r="14" customFormat="false" ht="23.85" hidden="false" customHeight="false" outlineLevel="0" collapsed="false">
      <c r="A14" s="4"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3" min="3" style="0" width="38"/>
    <col collapsed="false" customWidth="true" hidden="false" outlineLevel="0" max="4" min="4" style="0" width="16"/>
    <col collapsed="false" customWidth="true" hidden="false" outlineLevel="0" max="5" min="5" style="0" width="20"/>
    <col collapsed="false" customWidth="true" hidden="false" outlineLevel="0" max="6" min="6" style="0" width="8"/>
  </cols>
  <sheetData>
    <row r="1" customFormat="false" ht="15" hidden="false" customHeight="false" outlineLevel="0" collapsed="false">
      <c r="A1" s="5" t="s">
        <v>265</v>
      </c>
      <c r="B1" s="5" t="s">
        <v>266</v>
      </c>
      <c r="C1" s="5" t="s">
        <v>267</v>
      </c>
      <c r="D1" s="5" t="s">
        <v>268</v>
      </c>
      <c r="E1" s="5" t="s">
        <v>269</v>
      </c>
      <c r="F1" s="5" t="s">
        <v>270</v>
      </c>
    </row>
    <row r="2" customFormat="false" ht="15" hidden="false" customHeight="false" outlineLevel="0" collapsed="false">
      <c r="A2" s="6" t="s">
        <v>271</v>
      </c>
      <c r="B2" s="6" t="s">
        <v>1</v>
      </c>
      <c r="C2" s="6" t="s">
        <v>272</v>
      </c>
      <c r="D2" s="6" t="n">
        <f aca="false">COUNTA(S2_fulltext_exclusions!$B$2:$B$49)</f>
        <v>48</v>
      </c>
      <c r="E2" s="6" t="n">
        <v>48</v>
      </c>
      <c r="F2" s="6" t="str">
        <f aca="false">IF(D2=E2,"yes","NO")</f>
        <v>yes</v>
      </c>
    </row>
    <row r="3" customFormat="false" ht="15" hidden="false" customHeight="false" outlineLevel="0" collapsed="false">
      <c r="A3" s="6" t="s">
        <v>273</v>
      </c>
      <c r="B3" s="6" t="s">
        <v>6</v>
      </c>
      <c r="C3" s="6" t="s">
        <v>14</v>
      </c>
      <c r="D3" s="6" t="n">
        <f aca="false">COUNTIF(S2_fulltext_exclusions!$G$2:$G$49,C3)</f>
        <v>16</v>
      </c>
      <c r="E3" s="6" t="n">
        <v>16</v>
      </c>
      <c r="F3" s="6" t="str">
        <f aca="false">IF(D3=E3,"yes","NO")</f>
        <v>yes</v>
      </c>
    </row>
    <row r="4" customFormat="false" ht="15" hidden="false" customHeight="false" outlineLevel="0" collapsed="false">
      <c r="A4" s="6" t="s">
        <v>274</v>
      </c>
      <c r="B4" s="6" t="s">
        <v>6</v>
      </c>
      <c r="C4" s="6" t="s">
        <v>101</v>
      </c>
      <c r="D4" s="6" t="n">
        <f aca="false">COUNTIF(S2_fulltext_exclusions!$G$2:$G$49,C4)</f>
        <v>31</v>
      </c>
      <c r="E4" s="6" t="n">
        <v>31</v>
      </c>
      <c r="F4" s="6" t="str">
        <f aca="false">IF(D4=E4,"yes","NO")</f>
        <v>yes</v>
      </c>
    </row>
    <row r="5" customFormat="false" ht="15" hidden="false" customHeight="false" outlineLevel="0" collapsed="false">
      <c r="A5" s="6" t="s">
        <v>275</v>
      </c>
      <c r="B5" s="6" t="s">
        <v>6</v>
      </c>
      <c r="C5" s="6" t="s">
        <v>95</v>
      </c>
      <c r="D5" s="6" t="n">
        <f aca="false">COUNTIF(S2_fulltext_exclusions!$G$2:$G$49,C5)</f>
        <v>1</v>
      </c>
      <c r="E5" s="6" t="n">
        <v>1</v>
      </c>
      <c r="F5" s="6" t="str">
        <f aca="false">IF(D5=E5,"yes","NO")</f>
        <v>yes</v>
      </c>
    </row>
    <row r="6" customFormat="false" ht="15" hidden="false" customHeight="false" outlineLevel="0" collapsed="false">
      <c r="A6" s="6" t="s">
        <v>276</v>
      </c>
      <c r="B6" s="6" t="s">
        <v>7</v>
      </c>
      <c r="C6" s="6" t="s">
        <v>83</v>
      </c>
      <c r="D6" s="6" t="n">
        <f aca="false">COUNTIF(S2_fulltext_exclusions!$H$2:$H$49,C6)</f>
        <v>11</v>
      </c>
      <c r="E6" s="6" t="n">
        <v>11</v>
      </c>
      <c r="F6" s="6" t="str">
        <f aca="false">IF(D6=E6,"yes","NO")</f>
        <v>yes</v>
      </c>
    </row>
    <row r="7" customFormat="false" ht="15" hidden="false" customHeight="false" outlineLevel="0" collapsed="false">
      <c r="A7" s="6" t="s">
        <v>34</v>
      </c>
      <c r="B7" s="6" t="s">
        <v>7</v>
      </c>
      <c r="C7" s="6" t="s">
        <v>34</v>
      </c>
      <c r="D7" s="6" t="n">
        <f aca="false">COUNTIF(S2_fulltext_exclusions!$H$2:$H$49,C7)</f>
        <v>10</v>
      </c>
      <c r="E7" s="6" t="n">
        <v>10</v>
      </c>
      <c r="F7" s="6" t="str">
        <f aca="false">IF(D7=E7,"yes","NO")</f>
        <v>yes</v>
      </c>
    </row>
    <row r="8" customFormat="false" ht="15" hidden="false" customHeight="false" outlineLevel="0" collapsed="false">
      <c r="A8" s="6" t="s">
        <v>125</v>
      </c>
      <c r="B8" s="6" t="s">
        <v>7</v>
      </c>
      <c r="C8" s="6" t="s">
        <v>125</v>
      </c>
      <c r="D8" s="6" t="n">
        <f aca="false">COUNTIF(S2_fulltext_exclusions!$H$2:$H$49,C8)</f>
        <v>9</v>
      </c>
      <c r="E8" s="6" t="n">
        <v>9</v>
      </c>
      <c r="F8" s="6" t="str">
        <f aca="false">IF(D8=E8,"yes","NO")</f>
        <v>yes</v>
      </c>
    </row>
    <row r="9" customFormat="false" ht="15" hidden="false" customHeight="false" outlineLevel="0" collapsed="false">
      <c r="A9" s="6" t="s">
        <v>170</v>
      </c>
      <c r="B9" s="6" t="s">
        <v>7</v>
      </c>
      <c r="C9" s="6" t="s">
        <v>170</v>
      </c>
      <c r="D9" s="6" t="n">
        <f aca="false">COUNTIF(S2_fulltext_exclusions!$H$2:$H$49,C9)</f>
        <v>9</v>
      </c>
      <c r="E9" s="6" t="n">
        <v>9</v>
      </c>
      <c r="F9" s="6" t="str">
        <f aca="false">IF(D9=E9,"yes","NO")</f>
        <v>yes</v>
      </c>
    </row>
    <row r="10" customFormat="false" ht="15" hidden="false" customHeight="false" outlineLevel="0" collapsed="false">
      <c r="A10" s="6" t="s">
        <v>15</v>
      </c>
      <c r="B10" s="6" t="s">
        <v>7</v>
      </c>
      <c r="C10" s="6" t="s">
        <v>15</v>
      </c>
      <c r="D10" s="6" t="n">
        <f aca="false">COUNTIF(S2_fulltext_exclusions!$H$2:$H$49,C10)</f>
        <v>2</v>
      </c>
      <c r="E10" s="6" t="n">
        <v>2</v>
      </c>
      <c r="F10" s="6" t="str">
        <f aca="false">IF(D10=E10,"yes","NO")</f>
        <v>yes</v>
      </c>
    </row>
    <row r="11" customFormat="false" ht="15" hidden="false" customHeight="false" outlineLevel="0" collapsed="false">
      <c r="A11" s="6" t="s">
        <v>277</v>
      </c>
      <c r="B11" s="6" t="s">
        <v>7</v>
      </c>
      <c r="C11" s="6" t="s">
        <v>114</v>
      </c>
      <c r="D11" s="6" t="n">
        <f aca="false">COUNTIF(S2_fulltext_exclusions!$H$2:$H$49,C11)</f>
        <v>2</v>
      </c>
      <c r="E11" s="6" t="n">
        <v>2</v>
      </c>
      <c r="F11" s="6" t="str">
        <f aca="false">IF(D11=E11,"yes","NO")</f>
        <v>yes</v>
      </c>
    </row>
    <row r="12" customFormat="false" ht="15" hidden="false" customHeight="false" outlineLevel="0" collapsed="false">
      <c r="A12" s="6" t="s">
        <v>102</v>
      </c>
      <c r="B12" s="6" t="s">
        <v>7</v>
      </c>
      <c r="C12" s="6" t="s">
        <v>102</v>
      </c>
      <c r="D12" s="6" t="n">
        <f aca="false">COUNTIF(S2_fulltext_exclusions!$H$2:$H$49,C12)</f>
        <v>2</v>
      </c>
      <c r="E12" s="6" t="n">
        <v>2</v>
      </c>
      <c r="F12" s="6" t="str">
        <f aca="false">IF(D12=E12,"yes","NO")</f>
        <v>yes</v>
      </c>
    </row>
    <row r="13" customFormat="false" ht="15" hidden="false" customHeight="false" outlineLevel="0" collapsed="false">
      <c r="A13" s="6" t="s">
        <v>278</v>
      </c>
      <c r="B13" s="6" t="s">
        <v>7</v>
      </c>
      <c r="C13" s="6" t="s">
        <v>76</v>
      </c>
      <c r="D13" s="6" t="n">
        <f aca="false">COUNTIF(S2_fulltext_exclusions!$H$2:$H$49,C13)</f>
        <v>2</v>
      </c>
      <c r="E13" s="6" t="n">
        <v>2</v>
      </c>
      <c r="F13" s="6" t="str">
        <f aca="false">IF(D13=E13,"yes","NO")</f>
        <v>yes</v>
      </c>
    </row>
    <row r="14" customFormat="false" ht="15" hidden="false" customHeight="false" outlineLevel="0" collapsed="false">
      <c r="A14" s="6" t="s">
        <v>27</v>
      </c>
      <c r="B14" s="6" t="s">
        <v>7</v>
      </c>
      <c r="C14" s="6" t="s">
        <v>27</v>
      </c>
      <c r="D14" s="6" t="n">
        <f aca="false">COUNTIF(S2_fulltext_exclusions!$H$2:$H$49,C14)</f>
        <v>1</v>
      </c>
      <c r="E14" s="6" t="n">
        <v>1</v>
      </c>
      <c r="F14" s="6" t="str">
        <f aca="false">IF(D14=E14,"yes","NO")</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2026-09-25T14:53:48Z</dcterms:created>
  <dc:creator>openpyxl</dc:creator>
  <dc:description/>
  <dc:language>en-US</dc:language>
  <cp:lastModifiedBy/>
  <dcterms:modified xsi:type="dcterms:W3CDTF">2026-09-25T14:53:48Z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