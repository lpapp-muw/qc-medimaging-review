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1_included_studies" sheetId="1" state="visible" r:id="rId3"/>
    <sheet name="README" sheetId="2" state="visible" r:id="rId4"/>
    <sheet name="Checks" sheetId="3" state="visible" r:id="rId5"/>
  </sheets>
  <definedNames>
    <definedName function="false" hidden="true" localSheetId="0" name="_xlnm._FilterDatabase" vbProcedure="false">S1_included_studies!$A$1:$Y$134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<sst xmlns="http://schemas.openxmlformats.org/spreadsheetml/2006/main" count="2947" uniqueCount="698">
  <si>
    <t xml:space="preserve">Ref. no.</t>
  </si>
  <si>
    <t xml:space="preserve">DOI</t>
  </si>
  <si>
    <t xml:space="preserve">First author</t>
  </si>
  <si>
    <t xml:space="preserve">Year</t>
  </si>
  <si>
    <t xml:space="preserve">Title</t>
  </si>
  <si>
    <t xml:space="preserve">Journal</t>
  </si>
  <si>
    <t xml:space="preserve">Country (corresponding author)</t>
  </si>
  <si>
    <t xml:space="preserve">Imaging task</t>
  </si>
  <si>
    <t xml:space="preserve">Task family</t>
  </si>
  <si>
    <t xml:space="preserve">Modality</t>
  </si>
  <si>
    <t xml:space="preserve">Ionizing modality</t>
  </si>
  <si>
    <t xml:space="preserve">Quantum paradigm</t>
  </si>
  <si>
    <t xml:space="preserve">Execution context</t>
  </si>
  <si>
    <t xml:space="preserve">Hardware modality</t>
  </si>
  <si>
    <t xml:space="preserve">Qubit count (as reported)</t>
  </si>
  <si>
    <t xml:space="preserve">Dataset realism</t>
  </si>
  <si>
    <t xml:space="preserve">Classical baseline</t>
  </si>
  <si>
    <t xml:space="preserve">Baseline rigor</t>
  </si>
  <si>
    <t xml:space="preserve">Statistical testing</t>
  </si>
  <si>
    <t xml:space="preserve">External validation</t>
  </si>
  <si>
    <t xml:space="preserve">Reproducibility tier</t>
  </si>
  <si>
    <t xml:space="preserve">Translational level</t>
  </si>
  <si>
    <t xml:space="preserve">Clinical-readiness score (0-4)</t>
  </si>
  <si>
    <t xml:space="preserve">Resource-accounting score (0-4)</t>
  </si>
  <si>
    <t xml:space="preserve">Quality-fit subset</t>
  </si>
  <si>
    <t xml:space="preserve">10.1002/ima.23015</t>
  </si>
  <si>
    <t xml:space="preserve">Roy, Suman Kumar</t>
  </si>
  <si>
    <t xml:space="preserve">Quantum-inspired hybrid algorithm for image classification and segmentation: Q-Means++ max-cut method</t>
  </si>
  <si>
    <t xml:space="preserve">International Journal of Imaging Systems and Technology</t>
  </si>
  <si>
    <t xml:space="preserve">India</t>
  </si>
  <si>
    <t xml:space="preserve">Classification</t>
  </si>
  <si>
    <t xml:space="preserve">Predictive</t>
  </si>
  <si>
    <t xml:space="preserve">MRI</t>
  </si>
  <si>
    <t xml:space="preserve">No</t>
  </si>
  <si>
    <t xml:space="preserve">Hybrid quantum-classical</t>
  </si>
  <si>
    <t xml:space="preserve">Real quantum hardware</t>
  </si>
  <si>
    <t xml:space="preserve">Quantum annealer</t>
  </si>
  <si>
    <t xml:space="preserve">14 qubits are needed for batch-wise Q-Means++ circuit</t>
  </si>
  <si>
    <t xml:space="preserve">Public benchmark</t>
  </si>
  <si>
    <t xml:space="preserve">Yes</t>
  </si>
  <si>
    <t xml:space="preserve">Matched data and compute</t>
  </si>
  <si>
    <t xml:space="preserve">Data only</t>
  </si>
  <si>
    <t xml:space="preserve">Proof of concept</t>
  </si>
  <si>
    <t xml:space="preserve">10.1002/jemt.24054</t>
  </si>
  <si>
    <t xml:space="preserve">Amin, Javaria</t>
  </si>
  <si>
    <t xml:space="preserve">Breast microscopic cancer segmentation and classification using unique 4-qubit-quantum model</t>
  </si>
  <si>
    <t xml:space="preserve">Microscopy Research and Technique</t>
  </si>
  <si>
    <t xml:space="preserve">Saudi Arabia</t>
  </si>
  <si>
    <t xml:space="preserve">Histopathology</t>
  </si>
  <si>
    <t xml:space="preserve">Ideal or unspecified simulator</t>
  </si>
  <si>
    <t xml:space="preserve">Simulator only</t>
  </si>
  <si>
    <t xml:space="preserve">4-qubit system</t>
  </si>
  <si>
    <t xml:space="preserve">Matched data</t>
  </si>
  <si>
    <t xml:space="preserve">None</t>
  </si>
  <si>
    <t xml:space="preserve">In silico</t>
  </si>
  <si>
    <t xml:space="preserve">10.1007/s00259-023-06362-6</t>
  </si>
  <si>
    <t xml:space="preserve">Moradi, S.</t>
  </si>
  <si>
    <t xml:space="preserve">Error mitigation enables PET radiomic cancer characterization on quantum computers</t>
  </si>
  <si>
    <t xml:space="preserve">European Journal of Nuclear Medicine and Molecular Imaging</t>
  </si>
  <si>
    <t xml:space="preserve">Austria</t>
  </si>
  <si>
    <t xml:space="preserve">Radiomics</t>
  </si>
  <si>
    <t xml:space="preserve">Representation learning</t>
  </si>
  <si>
    <t xml:space="preserve">PET</t>
  </si>
  <si>
    <t xml:space="preserve">Quantum machine learning</t>
  </si>
  <si>
    <t xml:space="preserve">Trapped ion</t>
  </si>
  <si>
    <t xml:space="preserve">3 and 4 qubits (8 and 16 features); executed on the 21-qubit IonQ Aria</t>
  </si>
  <si>
    <t xml:space="preserve">Private single-center</t>
  </si>
  <si>
    <t xml:space="preserve">Code without model weights</t>
  </si>
  <si>
    <t xml:space="preserve">Retrospective clinical</t>
  </si>
  <si>
    <t xml:space="preserve">10.1007/s00521-022-07388-x</t>
  </si>
  <si>
    <t xml:space="preserve">A secure two-qubit quantum model for segmentation and classification of brain tumor using MRI images based on blockchain</t>
  </si>
  <si>
    <t xml:space="preserve">Neural Computing and Applications</t>
  </si>
  <si>
    <t xml:space="preserve">Pakistan</t>
  </si>
  <si>
    <t xml:space="preserve">Segmentation</t>
  </si>
  <si>
    <t xml:space="preserve">two-qubit quantum nodes</t>
  </si>
  <si>
    <t xml:space="preserve">Weak</t>
  </si>
  <si>
    <t xml:space="preserve">10.1007/s00521-023-08566-1</t>
  </si>
  <si>
    <t xml:space="preserve">Kulkarni, Viraj</t>
  </si>
  <si>
    <t xml:space="preserve">A classical–quantum convolutional neural network for detecting pneumonia from chest radiographs</t>
  </si>
  <si>
    <t xml:space="preserve">X-ray</t>
  </si>
  <si>
    <t xml:space="preserve">two qubits</t>
  </si>
  <si>
    <t xml:space="preserve">Matched data and compute with statistics</t>
  </si>
  <si>
    <t xml:space="preserve">10.1007/s00521-023-08717-4</t>
  </si>
  <si>
    <t xml:space="preserve">Detection of brain space-occupying lesions using quantum machine learning</t>
  </si>
  <si>
    <t xml:space="preserve">4 wires (qubit)</t>
  </si>
  <si>
    <t xml:space="preserve">10.1007/s00521-023-09207-3</t>
  </si>
  <si>
    <t xml:space="preserve">Arora, Riya</t>
  </si>
  <si>
    <t xml:space="preserve">MLDC: multi-lung disease classification using quantum classifier and artificial neural networks</t>
  </si>
  <si>
    <t xml:space="preserve">encoded four qubits</t>
  </si>
  <si>
    <t xml:space="preserve">10.1007/s10278-023-00886-x</t>
  </si>
  <si>
    <t xml:space="preserve">Felefly, Tony</t>
  </si>
  <si>
    <t xml:space="preserve">An Explainable MRI-Radiomic Quantum Neural Network to Differentiate Between Large Brain Metastases and High-Grade Glioma Using Quantum Annealing for Feature Selection</t>
  </si>
  <si>
    <t xml:space="preserve">Journal of Digital Imaging</t>
  </si>
  <si>
    <t xml:space="preserve">Lebanon</t>
  </si>
  <si>
    <t xml:space="preserve">Private multi-center</t>
  </si>
  <si>
    <t xml:space="preserve">10.1007/s10278-025-01630-3</t>
  </si>
  <si>
    <t xml:space="preserve">Idress, Wail M.</t>
  </si>
  <si>
    <t xml:space="preserve">QCNN-Swin-UNet: Quantum Convolutional Neural Network Integrated with Optimized Swin-UNet for Efficient Liver Tumor Segmentation and Classification on Edge Devices</t>
  </si>
  <si>
    <t xml:space="preserve">Journal of Imaging Informatics in Medicine</t>
  </si>
  <si>
    <t xml:space="preserve">China</t>
  </si>
  <si>
    <t xml:space="preserve">CT</t>
  </si>
  <si>
    <t xml:space="preserve">eight qubits (q0 to q7)</t>
  </si>
  <si>
    <t xml:space="preserve">10.1007/s10791-025-09634-x</t>
  </si>
  <si>
    <t xml:space="preserve">Radhika, S.</t>
  </si>
  <si>
    <t xml:space="preserve">Design and implementation of quantum hippo inspired convolutional neural networks using parametric quantum circuits for an efficient lung cancer classification</t>
  </si>
  <si>
    <t xml:space="preserve">Discover Computing</t>
  </si>
  <si>
    <t xml:space="preserve">10.1007/s10791-025-09791-z</t>
  </si>
  <si>
    <t xml:space="preserve">Ayalew, Aleka Melese</t>
  </si>
  <si>
    <t xml:space="preserve">An explainable hybrid deep learning system for tuberculosis detection with Grad-CAM</t>
  </si>
  <si>
    <t xml:space="preserve">Finland</t>
  </si>
  <si>
    <t xml:space="preserve">Quantum kernel methods</t>
  </si>
  <si>
    <t xml:space="preserve">5-qubit feature map</t>
  </si>
  <si>
    <t xml:space="preserve">10.1007/s11128-024-04369-y</t>
  </si>
  <si>
    <t xml:space="preserve">Liu, You-hang</t>
  </si>
  <si>
    <t xml:space="preserve">Efficient preparation of lossless quantum images based on Gray code</t>
  </si>
  <si>
    <t xml:space="preserve">Quantum Information Processing</t>
  </si>
  <si>
    <t xml:space="preserve">Other</t>
  </si>
  <si>
    <t xml:space="preserve">FRQI or NEQR encoding</t>
  </si>
  <si>
    <t xml:space="preserve">Not reported</t>
  </si>
  <si>
    <t xml:space="preserve">q+2n</t>
  </si>
  <si>
    <t xml:space="preserve">10.1007/s11128-025-04955-8</t>
  </si>
  <si>
    <t xml:space="preserve">Wang, Aijuan</t>
  </si>
  <si>
    <t xml:space="preserve">QC-Net: a hybrid quantum-classical neural network model for medical image segmentation</t>
  </si>
  <si>
    <t xml:space="preserve">Dermoscopy</t>
  </si>
  <si>
    <t xml:space="preserve">two-qubit</t>
  </si>
  <si>
    <t xml:space="preserve">10.1007/s11128-026-05144-x</t>
  </si>
  <si>
    <t xml:space="preserve">Villalba-Díez, Javier</t>
  </si>
  <si>
    <t xml:space="preserve">Squid–transmon quantum hardware simulation with deep learning for pancreatic radiotherapy image classification</t>
  </si>
  <si>
    <t xml:space="preserve">Germany</t>
  </si>
  <si>
    <t xml:space="preserve">4-qubit</t>
  </si>
  <si>
    <t xml:space="preserve">10.1007/s11227-024-06740-3</t>
  </si>
  <si>
    <t xml:space="preserve">Oviesi, Safura</t>
  </si>
  <si>
    <t xml:space="preserve">Quantum neural network-assisted learning for small medical datasets: a case study in emphysema detection</t>
  </si>
  <si>
    <t xml:space="preserve">The Journal of Supercomputing</t>
  </si>
  <si>
    <t xml:space="preserve">Iran</t>
  </si>
  <si>
    <t xml:space="preserve">10.1007/s11265-025-01973-8</t>
  </si>
  <si>
    <t xml:space="preserve">Salhi, Amina</t>
  </si>
  <si>
    <t xml:space="preserve">Enhanced Brain Tumor Segmentation and Classification Based on Quantum-Classical Attention-Guided Hybrid Framework with Zebra Optimization Algorithm</t>
  </si>
  <si>
    <t xml:space="preserve">Journal of Signal Processing Systems</t>
  </si>
  <si>
    <t xml:space="preserve">Variational algorithms</t>
  </si>
  <si>
    <t xml:space="preserve">10.1007/s11307-025-01990-w</t>
  </si>
  <si>
    <t xml:space="preserve">Buvaneswari, T.</t>
  </si>
  <si>
    <t xml:space="preserve">Leveraging Radiomics and Hybrid Quantum-Classical Convolutional Networks for Non-Invasive Detection of Microsatellite Instability in Colorectal Cancer</t>
  </si>
  <si>
    <t xml:space="preserve">Molecular Imaging and Biology</t>
  </si>
  <si>
    <t xml:space="preserve">10.1007/s11467-024-1391-x</t>
  </si>
  <si>
    <t xml:space="preserve">Lin, Zidong</t>
  </si>
  <si>
    <t xml:space="preserve">Hardware-efficient quantum principal component analysis for medical image recognition</t>
  </si>
  <si>
    <t xml:space="preserve">Frontiers of Physics</t>
  </si>
  <si>
    <t xml:space="preserve">NMR</t>
  </si>
  <si>
    <t xml:space="preserve">10.1007/s11760-023-02857-9</t>
  </si>
  <si>
    <t xml:space="preserve">Chaduvula, Kavitha</t>
  </si>
  <si>
    <t xml:space="preserve">Quantum edge detection of medical images using novel enhanced quantum representation and hill entropy approach</t>
  </si>
  <si>
    <t xml:space="preserve">Signal, Image and Video Processing</t>
  </si>
  <si>
    <t xml:space="preserve">Analysis</t>
  </si>
  <si>
    <t xml:space="preserve">Image-to-image</t>
  </si>
  <si>
    <t xml:space="preserve">10.1007/s12065-024-00971-2</t>
  </si>
  <si>
    <t xml:space="preserve">De, Debashis</t>
  </si>
  <si>
    <t xml:space="preserve">FQPDR: Federated Quantum Neural Network for Privacy-preserving Early Detection of Diabetic Retinopathy</t>
  </si>
  <si>
    <t xml:space="preserve">Evolutionary Intelligence</t>
  </si>
  <si>
    <t xml:space="preserve">Fundus</t>
  </si>
  <si>
    <t xml:space="preserve">7-qubit QNN</t>
  </si>
  <si>
    <t xml:space="preserve">10.1007/s12559-021-09926-6</t>
  </si>
  <si>
    <t xml:space="preserve">Quantum Machine Learning Architecture for COVID-19 Classification Based on Synthetic Data Generation Using Conditional Adversarial Neural Network</t>
  </si>
  <si>
    <t xml:space="preserve">Cognitive Computation</t>
  </si>
  <si>
    <t xml:space="preserve">4-qubit quantum circuit</t>
  </si>
  <si>
    <t xml:space="preserve">10.1007/s13369-021-06511-9</t>
  </si>
  <si>
    <t xml:space="preserve">Chetia, Rajib</t>
  </si>
  <si>
    <t xml:space="preserve">Quantum Edge Extraction of Chest CT Image for the Detection and Differentiation of Infected Region of COVID-19 Patient</t>
  </si>
  <si>
    <t xml:space="preserve">Arabian Journal for Science and Engineering</t>
  </si>
  <si>
    <t xml:space="preserve">2n + q qubits</t>
  </si>
  <si>
    <t xml:space="preserve">10.1007/s42452-025-06504-5</t>
  </si>
  <si>
    <t xml:space="preserve">Improved sarcoidosis disease detection using deep learning and histogram of oriented gradients with quantum SVM</t>
  </si>
  <si>
    <t xml:space="preserve">Discover Applied Sciences</t>
  </si>
  <si>
    <t xml:space="preserve">Ethiopia</t>
  </si>
  <si>
    <t xml:space="preserve">5-qubit feature</t>
  </si>
  <si>
    <t xml:space="preserve">10.1007/s42484-024-00170-3</t>
  </si>
  <si>
    <t xml:space="preserve">R V, Aswiga</t>
  </si>
  <si>
    <t xml:space="preserve">Leveraging Quantum Kernel Support Vector Machine for breast cancer diagnosis from Digital Breast Tomosynthesis images</t>
  </si>
  <si>
    <t xml:space="preserve">Quantum Machine Intelligence</t>
  </si>
  <si>
    <t xml:space="preserve">Superconducting</t>
  </si>
  <si>
    <t xml:space="preserve">2-qubit system</t>
  </si>
  <si>
    <t xml:space="preserve">10.1007/s42484-024-00171-2</t>
  </si>
  <si>
    <t xml:space="preserve">Mayfield, John</t>
  </si>
  <si>
    <t xml:space="preserve">Evaluation of VQC-LSTM for disability forecasting in multiple sclerosis using sequential multisequence MRI</t>
  </si>
  <si>
    <t xml:space="preserve">United States</t>
  </si>
  <si>
    <t xml:space="preserve">16 qubits</t>
  </si>
  <si>
    <t xml:space="preserve">10.1007/s42484-025-00288-y</t>
  </si>
  <si>
    <t xml:space="preserve">Hussein, Ahmed A.</t>
  </si>
  <si>
    <t xml:space="preserve">Skin cancer image classification using hybrid quantum deep learning model with BiLSTM and MobileNetV2</t>
  </si>
  <si>
    <t xml:space="preserve">Egypt</t>
  </si>
  <si>
    <t xml:space="preserve">single qubit</t>
  </si>
  <si>
    <t xml:space="preserve">10.1007/s42484-025-00315-y</t>
  </si>
  <si>
    <t xml:space="preserve">Andra, M. Bagus</t>
  </si>
  <si>
    <t xml:space="preserve">Data augmentation in cancer image classification problem with quantum GAN</t>
  </si>
  <si>
    <t xml:space="preserve">Indonesia</t>
  </si>
  <si>
    <t xml:space="preserve">No. of qubit 7</t>
  </si>
  <si>
    <t xml:space="preserve">10.1007/s42484-026-00385-6</t>
  </si>
  <si>
    <t xml:space="preserve">Kottahachchi Kankanamge Don, Asitha</t>
  </si>
  <si>
    <t xml:space="preserve">Q-VFL: quantum-enhanced vertical federated learning with contrastive encoding for privacy-preserving medical AI</t>
  </si>
  <si>
    <t xml:space="preserve">Australia</t>
  </si>
  <si>
    <t xml:space="preserve">Ultrasound</t>
  </si>
  <si>
    <t xml:space="preserve">7 total qubits per client</t>
  </si>
  <si>
    <t xml:space="preserve">Toy</t>
  </si>
  <si>
    <t xml:space="preserve">10.1007/s44196-025-00920-6</t>
  </si>
  <si>
    <t xml:space="preserve">Nandal, Priyanka</t>
  </si>
  <si>
    <t xml:space="preserve">Image Denoising Using Quantum Deep Convolutional Generative Adversarial Network for Medical Images</t>
  </si>
  <si>
    <t xml:space="preserve">International Journal of Computational Intelligence Systems</t>
  </si>
  <si>
    <t xml:space="preserve">Denoising</t>
  </si>
  <si>
    <t xml:space="preserve">4–6 qubits</t>
  </si>
  <si>
    <t xml:space="preserve">10.1007/s44443-025-00449-w</t>
  </si>
  <si>
    <t xml:space="preserve">Hybrid quantum-inspired fuzzy U-net with Giza pyramid construction optimization for pulmonary emphysema classification</t>
  </si>
  <si>
    <t xml:space="preserve">Journal of King Saud University Computer and Information Sciences</t>
  </si>
  <si>
    <t xml:space="preserve">four qubits</t>
  </si>
  <si>
    <t xml:space="preserve">10.1016/j.aej.2023.09.008</t>
  </si>
  <si>
    <t xml:space="preserve">Al-Mansor, Ebtesam</t>
  </si>
  <si>
    <t xml:space="preserve">Medical image edge detection in the framework of quantum representations</t>
  </si>
  <si>
    <t xml:space="preserve">Alexandria Engineering Journal</t>
  </si>
  <si>
    <t xml:space="preserve">Unspecified medical imaging</t>
  </si>
  <si>
    <t xml:space="preserve">10.1016/j.aej.2025.12.007</t>
  </si>
  <si>
    <t xml:space="preserve">Nishan, MD Nahid Hassan</t>
  </si>
  <si>
    <t xml:space="preserve">QuantumMedKD: A hybrid quantum–classical knowledge distillation framework for medical image analysis</t>
  </si>
  <si>
    <t xml:space="preserve">Bangladesh</t>
  </si>
  <si>
    <t xml:space="preserve">Noisy simulator</t>
  </si>
  <si>
    <t xml:space="preserve">3, 4, 5, 6, 7, 8 qubits</t>
  </si>
  <si>
    <t xml:space="preserve">10.1016/j.artmed.2025.103322</t>
  </si>
  <si>
    <t xml:space="preserve">Kaewta, Chutchai</t>
  </si>
  <si>
    <t xml:space="preserve">QENNA: A quantum-enhanced neural network for early Alzheimer's detection using magnetic resonance imaging</t>
  </si>
  <si>
    <t xml:space="preserve">Artificial Intelligence In Medicine</t>
  </si>
  <si>
    <t xml:space="preserve">Thailand</t>
  </si>
  <si>
    <t xml:space="preserve">up to 12-qubit circuits</t>
  </si>
  <si>
    <t xml:space="preserve">10.1016/j.asoc.2025.113631</t>
  </si>
  <si>
    <t xml:space="preserve">Guha, Dibyasree</t>
  </si>
  <si>
    <t xml:space="preserve">ResQ: A hybrid classical-quantum model for efficient breast cancer image classification</t>
  </si>
  <si>
    <t xml:space="preserve">Applied Soft Computing</t>
  </si>
  <si>
    <t xml:space="preserve">10.1016/j.bspc.2023.105560</t>
  </si>
  <si>
    <t xml:space="preserve">Hassan, Esraa</t>
  </si>
  <si>
    <t xml:space="preserve">A quantum convolutional network and ResNet (50)-based classification architecture for the MNIST medical dataset</t>
  </si>
  <si>
    <t xml:space="preserve">Biomedical Signal Processing and Control</t>
  </si>
  <si>
    <t xml:space="preserve">10.1016/j.bspc.2026.110251</t>
  </si>
  <si>
    <t xml:space="preserve">Sujithra, L.R.</t>
  </si>
  <si>
    <t xml:space="preserve">Quantum generative dynamic graph attention adversarial network for early detection of breast cancer using histopathology images</t>
  </si>
  <si>
    <t xml:space="preserve">6</t>
  </si>
  <si>
    <t xml:space="preserve">10.1016/j.cmpb.2026.109362</t>
  </si>
  <si>
    <t xml:space="preserve">Ahad, Md Taimur</t>
  </si>
  <si>
    <t xml:space="preserve">A novel qVGG-4 model for optimizing a parameterized quantum circuit in a quantum-IoT-based brain tumor detection and monitoring system</t>
  </si>
  <si>
    <t xml:space="preserve">Computer Methods and Programs in Biomedicine</t>
  </si>
  <si>
    <t xml:space="preserve">10.1016/j.compbiomed.2025.110941</t>
  </si>
  <si>
    <t xml:space="preserve">S, Jasmine</t>
  </si>
  <si>
    <t xml:space="preserve">Bi-directional semi-3D network for accurate epicardial fat segmentation and quantification using reflection equivariant quantum neural networks</t>
  </si>
  <si>
    <t xml:space="preserve">Computers in Biology and Medicine</t>
  </si>
  <si>
    <t xml:space="preserve">10.1016/j.compbiomed.2026.111633</t>
  </si>
  <si>
    <t xml:space="preserve">Naresh Kumar, A.</t>
  </si>
  <si>
    <t xml:space="preserve">Cervical cancer image analysis: Detection and segmentation using self-guided quantum GANs and musical chairs optimization</t>
  </si>
  <si>
    <t xml:space="preserve">10.1016/j.engappai.2025.111938</t>
  </si>
  <si>
    <t xml:space="preserve">VM, Raja Sankari</t>
  </si>
  <si>
    <t xml:space="preserve">Automated detection of stages, zones, and plus diseases of Retinopathy of Prematurity using quantum convolutional networks in neonatal fundus images</t>
  </si>
  <si>
    <t xml:space="preserve">Engineering Applications of Artificial Intelligence</t>
  </si>
  <si>
    <t xml:space="preserve">4 qubits</t>
  </si>
  <si>
    <t xml:space="preserve">10.1016/j.ijrobp.2026.03.010</t>
  </si>
  <si>
    <t xml:space="preserve">Xie, Congying</t>
  </si>
  <si>
    <t xml:space="preserve">Pretreatment Radiation Esophagitis Prediction Using Quantum Machine Learning in Patients With Esophageal Cancer</t>
  </si>
  <si>
    <t xml:space="preserve">International Journal of Radiation Oncology Biology Physics</t>
  </si>
  <si>
    <t xml:space="preserve">10.1016/j.inffus.2023.101913</t>
  </si>
  <si>
    <t xml:space="preserve">Qu, Zhiguo</t>
  </si>
  <si>
    <t xml:space="preserve">QNMF: A quantum neural network based multimodal fusion system for intelligent diagnosis</t>
  </si>
  <si>
    <t xml:space="preserve">Information Fusion</t>
  </si>
  <si>
    <t xml:space="preserve">Sweden</t>
  </si>
  <si>
    <t xml:space="preserve">Number of qubits 4</t>
  </si>
  <si>
    <t xml:space="preserve">10.1016/j.jestch.2025.102272</t>
  </si>
  <si>
    <t xml:space="preserve">Veesam, Sai Babu</t>
  </si>
  <si>
    <t xml:space="preserve">Integrated quantum-classical hybrid architectures for robust lung lesion segmentation in volumetric CT video data samples</t>
  </si>
  <si>
    <t xml:space="preserve">Engineering Science and Technology, an International Journal</t>
  </si>
  <si>
    <t xml:space="preserve">five qubits</t>
  </si>
  <si>
    <t xml:space="preserve">10.1016/j.jestch.2026.102386</t>
  </si>
  <si>
    <t xml:space="preserve">Kavadi, Durga Prasad</t>
  </si>
  <si>
    <t xml:space="preserve">Quantum Kernelized DeepVision: A robust 3D U-Net framework for early detection of Primary Hyperoxaluria Type 1 in renal MRI</t>
  </si>
  <si>
    <t xml:space="preserve">six qubits</t>
  </si>
  <si>
    <t xml:space="preserve">10.1016/j.jrras.2026.102165</t>
  </si>
  <si>
    <t xml:space="preserve">Alfajri, Ariiq Islam</t>
  </si>
  <si>
    <t xml:space="preserve">Hybrid quantum-classical convolutional neural networks for multiclass lung X-ray image classification</t>
  </si>
  <si>
    <t xml:space="preserve">Journal of Radiation Research and Applied Sciences</t>
  </si>
  <si>
    <t xml:space="preserve">four
qubits</t>
  </si>
  <si>
    <t xml:space="preserve">10.1016/j.knosys.2023.110413</t>
  </si>
  <si>
    <t xml:space="preserve">Deshmukh, Shradha</t>
  </si>
  <si>
    <t xml:space="preserve">Explainable quantum clustering method to model medical data</t>
  </si>
  <si>
    <t xml:space="preserve">Knowledge-Based Systems</t>
  </si>
  <si>
    <t xml:space="preserve">Qatar</t>
  </si>
  <si>
    <t xml:space="preserve">three-qubit</t>
  </si>
  <si>
    <t xml:space="preserve">10.1016/j.knosys.2024.112922</t>
  </si>
  <si>
    <t xml:space="preserve">Choi, Junggu</t>
  </si>
  <si>
    <t xml:space="preserve">Early-stage detection of cognitive impairment by hybrid quantum-classical algorithm using resting-state functional MRI time-series</t>
  </si>
  <si>
    <t xml:space="preserve">South Korea</t>
  </si>
  <si>
    <t xml:space="preserve">10.1016/j.mex.2025.103185</t>
  </si>
  <si>
    <t xml:space="preserve">Bali, Manish</t>
  </si>
  <si>
    <t xml:space="preserve">QuantumNet: An enhanced diabetic retinopathy detection model using classical deep learning-quantum transfer learning</t>
  </si>
  <si>
    <t xml:space="preserve">MethodsX</t>
  </si>
  <si>
    <t xml:space="preserve">10.1016/j.mex.2025.103605</t>
  </si>
  <si>
    <t xml:space="preserve">Ara, Tabassum</t>
  </si>
  <si>
    <t xml:space="preserve">Hybrid quantum-classical deep learning framework for balanced multiclass diabetic retinopathy classification</t>
  </si>
  <si>
    <t xml:space="preserve">United Arab Emirates</t>
  </si>
  <si>
    <t xml:space="preserve">8 qubits</t>
  </si>
  <si>
    <t xml:space="preserve">10.1016/j.neucom.2025.131410</t>
  </si>
  <si>
    <t xml:space="preserve">Li, Yangyang</t>
  </si>
  <si>
    <t xml:space="preserve">Quantum splitting convolutional neural network-based distributed quantum disease detection model</t>
  </si>
  <si>
    <t xml:space="preserve">Neurocomputing</t>
  </si>
  <si>
    <t xml:space="preserve">8-qubit QCNN</t>
  </si>
  <si>
    <t xml:space="preserve">10.1016/j.radphyschem.2025.113545</t>
  </si>
  <si>
    <t xml:space="preserve">Yani, Sitti</t>
  </si>
  <si>
    <t xml:space="preserve">Quantum convolutional neural network for MRI brain tumor analysis: Binary and multiclass classification using a four-qubit architecture</t>
  </si>
  <si>
    <t xml:space="preserve">Radiation Physics and Chemistry</t>
  </si>
  <si>
    <t xml:space="preserve">Vietnam</t>
  </si>
  <si>
    <t xml:space="preserve">10.1016/j.softx.2026.102621</t>
  </si>
  <si>
    <t xml:space="preserve">Cho, Jae Hyun</t>
  </si>
  <si>
    <t xml:space="preserve">QSPLIT: A GUI-based testing framework for quantum split learning</t>
  </si>
  <si>
    <t xml:space="preserve">SoftwareX</t>
  </si>
  <si>
    <t xml:space="preserve">Multimodal</t>
  </si>
  <si>
    <t xml:space="preserve">number
of qubits = 6</t>
  </si>
  <si>
    <t xml:space="preserve">10.1038/s41598-023-41700-6</t>
  </si>
  <si>
    <t xml:space="preserve">Jun, Kyungtaek</t>
  </si>
  <si>
    <t xml:space="preserve">A highly accurate quantum optimization algorithm for CT image reconstruction based on sinogram patterns</t>
  </si>
  <si>
    <t xml:space="preserve">Scientific Reports</t>
  </si>
  <si>
    <t xml:space="preserve">Reconstruction</t>
  </si>
  <si>
    <t xml:space="preserve">QAOA or quantum optimization</t>
  </si>
  <si>
    <t xml:space="preserve">10,000 qubits</t>
  </si>
  <si>
    <t xml:space="preserve">10.1038/s41598-024-61452-1</t>
  </si>
  <si>
    <t xml:space="preserve">Belay, Abebech Jenber</t>
  </si>
  <si>
    <t xml:space="preserve">Deep Ensemble learning and quantum machine learning approach for Alzheimer's disease detection</t>
  </si>
  <si>
    <t xml:space="preserve">5 qubits</t>
  </si>
  <si>
    <t xml:space="preserve">10.1038/s41598-025-08453-w</t>
  </si>
  <si>
    <t xml:space="preserve">Quantum optimization algorithms for CT image segmentation from X-ray data</t>
  </si>
  <si>
    <t xml:space="preserve">Quantum annealing or QUBO</t>
  </si>
  <si>
    <t xml:space="preserve">2,500 and 10,000 logical qubits</t>
  </si>
  <si>
    <t xml:space="preserve">10.1038/s41598-025-14611-x</t>
  </si>
  <si>
    <t xml:space="preserve">Nau, Merlin A.</t>
  </si>
  <si>
    <t xml:space="preserve">Quantum annealing feature selection on light-weight medical image datasets</t>
  </si>
  <si>
    <t xml:space="preserve">around 883.17 ± 82.80 qubits on the QA hardware</t>
  </si>
  <si>
    <t xml:space="preserve">10.1038/s41598-025-17075-1</t>
  </si>
  <si>
    <t xml:space="preserve">Xie, Zongyu</t>
  </si>
  <si>
    <t xml:space="preserve">Quantum integration in swin transformer mitigates overfitting in breast cancer screening</t>
  </si>
  <si>
    <t xml:space="preserve">8 and 16 qubits</t>
  </si>
  <si>
    <t xml:space="preserve">10.1038/s41598-025-31122-x</t>
  </si>
  <si>
    <t xml:space="preserve">Pandey, Pradyumn</t>
  </si>
  <si>
    <t xml:space="preserve">A hybrid quantum–classical convolutional neural network with a quantum attention mechanism for skin cancer</t>
  </si>
  <si>
    <t xml:space="preserve">18-qubit register per image</t>
  </si>
  <si>
    <t xml:space="preserve">10.1038/s41598-025-93552-x</t>
  </si>
  <si>
    <t xml:space="preserve">Lee, Hyunju</t>
  </si>
  <si>
    <t xml:space="preserve">Range dependent Hamiltonian algorithms for numerical QUBO formulation</t>
  </si>
  <si>
    <t xml:space="preserve">10 qubits, a total of 9000 qubits</t>
  </si>
  <si>
    <t xml:space="preserve">10.1038/s41598-026-35540-3</t>
  </si>
  <si>
    <t xml:space="preserve">Chilukuri, Rajitha</t>
  </si>
  <si>
    <t xml:space="preserve">Quantum denoising autoencoder improves retinal fundus image quality for early diabetic retinopathy screening</t>
  </si>
  <si>
    <t xml:space="preserve">n=4 qubits</t>
  </si>
  <si>
    <t xml:space="preserve">10.1038/s41598-026-35605-3</t>
  </si>
  <si>
    <t xml:space="preserve">Singh, Gurinder</t>
  </si>
  <si>
    <t xml:space="preserve">Benchmarking MedMNIST dataset on real quantum hardware</t>
  </si>
  <si>
    <t xml:space="preserve">4 to 11 qubits</t>
  </si>
  <si>
    <t xml:space="preserve">10.1038/s41598-026-35951-2</t>
  </si>
  <si>
    <t xml:space="preserve">Aravinda, C. V</t>
  </si>
  <si>
    <t xml:space="preserve">Quantum-enhanced multimodal prognostic transformer for skin disease progression prediction and visualization</t>
  </si>
  <si>
    <t xml:space="preserve">Malaysia</t>
  </si>
  <si>
    <t xml:space="preserve">4-qubit parameterized circuit</t>
  </si>
  <si>
    <t xml:space="preserve">10.1038/s41598-026-38063-z</t>
  </si>
  <si>
    <t xml:space="preserve">Alqassab, Ans Ibrahim Mahameed</t>
  </si>
  <si>
    <t xml:space="preserve">Identification of multiple ocular diseases using a hybrid quantum convolutional neural network with fundus images</t>
  </si>
  <si>
    <t xml:space="preserve">Spain</t>
  </si>
  <si>
    <t xml:space="preserve">8-qubit register</t>
  </si>
  <si>
    <t xml:space="preserve">10.1038/s41598-026-40127-z</t>
  </si>
  <si>
    <t xml:space="preserve">Sun, Qian</t>
  </si>
  <si>
    <t xml:space="preserve">A Flexible Hybrid Quantum-classical Training Framework of Organ-at-Risk and Tumor Segmentation Models for Radiation Therapy Planning</t>
  </si>
  <si>
    <t xml:space="preserve">128 independent 9-qubit VQCs</t>
  </si>
  <si>
    <t xml:space="preserve">10.1038/s41598-026-42047-4</t>
  </si>
  <si>
    <t xml:space="preserve">Qin, Zhouyuan</t>
  </si>
  <si>
    <t xml:space="preserve">Survival prediction for bladder cancer using multimodal data with quantum neural networks and transformer architectures</t>
  </si>
  <si>
    <t xml:space="preserve">10.1038/s41598-026-49227-2</t>
  </si>
  <si>
    <t xml:space="preserve">Menaka, S. R.</t>
  </si>
  <si>
    <t xml:space="preserve">A novel diabetic retinopathy detection from fundus images using hybrid quantum convolutional neural network models</t>
  </si>
  <si>
    <t xml:space="preserve">10.1038/s41598-026-51942-9</t>
  </si>
  <si>
    <t xml:space="preserve">Baghavathi Priya, S.</t>
  </si>
  <si>
    <t xml:space="preserve">Quantum SVM-driven framework for accurate brain stroke classification</t>
  </si>
  <si>
    <t xml:space="preserve">6 qubits</t>
  </si>
  <si>
    <t xml:space="preserve">10.1038/s43588-022-00351-9</t>
  </si>
  <si>
    <t xml:space="preserve">Ren, Wenhui</t>
  </si>
  <si>
    <t xml:space="preserve">Experimental quantum adversarial learning with programmable superconducting qubits</t>
  </si>
  <si>
    <t xml:space="preserve">Nature Computational Science</t>
  </si>
  <si>
    <t xml:space="preserve">ten qubits</t>
  </si>
  <si>
    <t xml:space="preserve">10.1049/qtc2.70010</t>
  </si>
  <si>
    <t xml:space="preserve">Nandy Pal, Mahua</t>
  </si>
  <si>
    <t xml:space="preserve">FedQCNN: A Privacy-Preserving Federated Quantum Convolutional Neural Network for Retinal Image Classification</t>
  </si>
  <si>
    <t xml:space="preserve">IET Quantum Communication</t>
  </si>
  <si>
    <t xml:space="preserve">10.1080/00207454.2026.2656322</t>
  </si>
  <si>
    <t xml:space="preserve">Chidambaram, Pabitha</t>
  </si>
  <si>
    <t xml:space="preserve">Scalable quantum non-local neural network optimised with the tyrannosaurus algorithm for brain tumour detection using MRI images</t>
  </si>
  <si>
    <t xml:space="preserve">International Journal of Neuroscience</t>
  </si>
  <si>
    <t xml:space="preserve">10.1088/1402-4896/ae20d5</t>
  </si>
  <si>
    <t xml:space="preserve">Chatterjee, Arnab</t>
  </si>
  <si>
    <t xml:space="preserve">IPQIR: an improved probabilistic quantum image representation</t>
  </si>
  <si>
    <t xml:space="preserve">Physica Scripta</t>
  </si>
  <si>
    <t xml:space="preserve">2n + 1, 2n + 4 and 2n + 6 qubits for binary, grayscale and RGB</t>
  </si>
  <si>
    <t xml:space="preserve">10.1088/2058-9565/acfc61</t>
  </si>
  <si>
    <t xml:space="preserve">Bhatia, Amandeep Singh</t>
  </si>
  <si>
    <t xml:space="preserve">Federated quanvolutional neural network: a new paradigm for collaborative quantum learning</t>
  </si>
  <si>
    <t xml:space="preserve">Quantum Science and Technology</t>
  </si>
  <si>
    <t xml:space="preserve">16-qubits</t>
  </si>
  <si>
    <t xml:space="preserve">10.1088/2058-9565/ae24a8</t>
  </si>
  <si>
    <t xml:space="preserve">Jain, Naman</t>
  </si>
  <si>
    <t xml:space="preserve">QuFeX: quantum feature extraction module for hybrid quantum-classical deep neural networks</t>
  </si>
  <si>
    <t xml:space="preserve">4-, 6-, 8-,
and 12-qubit configurations</t>
  </si>
  <si>
    <t xml:space="preserve">10.1088/2632-2153/acffa3</t>
  </si>
  <si>
    <t xml:space="preserve">Qiu, Yun-Zhong</t>
  </si>
  <si>
    <t xml:space="preserve">Universal adversarial perturbations for multiple classification tasks with quantum classifiers</t>
  </si>
  <si>
    <t xml:space="preserve">Machine Learning: Science and Technology</t>
  </si>
  <si>
    <t xml:space="preserve">12 qubits</t>
  </si>
  <si>
    <t xml:space="preserve">10.1088/2632-2153/ad2aef</t>
  </si>
  <si>
    <t xml:space="preserve">Senokosov, Arsenii</t>
  </si>
  <si>
    <t xml:space="preserve">Quantum machine learning for image classification</t>
  </si>
  <si>
    <t xml:space="preserve">Switzerland</t>
  </si>
  <si>
    <t xml:space="preserve">10.1088/2632-2153/ad8c11</t>
  </si>
  <si>
    <t xml:space="preserve">Federated learning with tensor networks: a quantum AI framework for healthcare</t>
  </si>
  <si>
    <t xml:space="preserve">number of qubits Q = 4</t>
  </si>
  <si>
    <t xml:space="preserve">10.1088/2632-2153/add1a9</t>
  </si>
  <si>
    <t xml:space="preserve">Khatun, Amena</t>
  </si>
  <si>
    <t xml:space="preserve">Quantum Generative Learning for High-Resolution Medical Image Generation</t>
  </si>
  <si>
    <t xml:space="preserve">Super-resolution</t>
  </si>
  <si>
    <t xml:space="preserve">10.1093/jcde/qwac003</t>
  </si>
  <si>
    <t xml:space="preserve">Houssein, Essam H.</t>
  </si>
  <si>
    <t xml:space="preserve">Hybrid quantum-classical convolutional neural network model for COVID-19 prediction using chest X-ray images</t>
  </si>
  <si>
    <t xml:space="preserve">Journal of Computational Design and Engineering</t>
  </si>
  <si>
    <t xml:space="preserve">four-qubit device</t>
  </si>
  <si>
    <t xml:space="preserve">10.1103/physrevresearch.6.l042060</t>
  </si>
  <si>
    <t xml:space="preserve">Simen, Anton</t>
  </si>
  <si>
    <t xml:space="preserve">Digital-analog quantum convolutional neural networks for image classification</t>
  </si>
  <si>
    <t xml:space="preserve">Physical Review Research</t>
  </si>
  <si>
    <t xml:space="preserve">kernel sizes of 2 × 2 (four qubits) and 3 × 3 (nine qubits)</t>
  </si>
  <si>
    <t xml:space="preserve">10.1109/access.2024.3360139</t>
  </si>
  <si>
    <t xml:space="preserve">Shoieb, Doaa A.</t>
  </si>
  <si>
    <t xml:space="preserve">HQMC-CPC: A Hybrid Quantum Multiclass Cardiac Pathologies Classification Integrating a Modified Hardware Efficient Ansatz</t>
  </si>
  <si>
    <t xml:space="preserve">IEEE Access</t>
  </si>
  <si>
    <t xml:space="preserve">30 qubits</t>
  </si>
  <si>
    <t xml:space="preserve">10.1109/access.2024.3434681</t>
  </si>
  <si>
    <t xml:space="preserve">Reka, S. Sofana</t>
  </si>
  <si>
    <t xml:space="preserve">Exploring Quantum Machine Learning for Enhanced Skin Lesion Classification: A Comparative Study of Implementation Methods</t>
  </si>
  <si>
    <t xml:space="preserve">four-qubit system</t>
  </si>
  <si>
    <t xml:space="preserve">10.1109/access.2025.3531407</t>
  </si>
  <si>
    <t xml:space="preserve">Pappala, Lalitha Kumari</t>
  </si>
  <si>
    <t xml:space="preserve">Design of an Iterative Model for Incremental Enhancements in Quantum Image Processing Using Reinforcement Learning-Based Optimizations</t>
  </si>
  <si>
    <t xml:space="preserve">20 qubits</t>
  </si>
  <si>
    <t xml:space="preserve">10.1109/access.2025.3542807</t>
  </si>
  <si>
    <t xml:space="preserve">Subbiyan, Balasubramani</t>
  </si>
  <si>
    <t xml:space="preserve">A Quantum-Enhanced Artificial Neural Network Model for Efficient Medical Image Compression</t>
  </si>
  <si>
    <t xml:space="preserve">10.1109/access.2025.3581030</t>
  </si>
  <si>
    <t xml:space="preserve">C V, Aravinda</t>
  </si>
  <si>
    <t xml:space="preserve">A Hybrid Quantum-Classical Approach for Multi-Class Skin Disease Classification Using a 4-Qubit Model</t>
  </si>
  <si>
    <t xml:space="preserve">10.1109/access.2025.3599679</t>
  </si>
  <si>
    <t xml:space="preserve">Tikariha, Devansh</t>
  </si>
  <si>
    <t xml:space="preserve">Osteoarthritis Classification Using Hybrid Quantum Convolutional Neural Network</t>
  </si>
  <si>
    <t xml:space="preserve">10.1109/access.2025.3608217</t>
  </si>
  <si>
    <t xml:space="preserve">Aravinda, C. V.</t>
  </si>
  <si>
    <t xml:space="preserve">Optimized DenseNet121 and Quantum PennyLane Fusion for Explainable Skin Disease Recognition and Classification</t>
  </si>
  <si>
    <t xml:space="preserve">8-qubit</t>
  </si>
  <si>
    <t xml:space="preserve">10.1109/access.2025.3625205</t>
  </si>
  <si>
    <t xml:space="preserve">Priyadharshni, S.</t>
  </si>
  <si>
    <t xml:space="preserve">Hybrid Quantum-Convolutional Neural Network With Spatial Attention for Accurate Classification of Maternal-Fetal Planes in Ultrasound Images</t>
  </si>
  <si>
    <t xml:space="preserve">10.1109/access.2025.3638383</t>
  </si>
  <si>
    <t xml:space="preserve">Khawaji, Ahmad</t>
  </si>
  <si>
    <t xml:space="preserve">High-Resolution Medical Image Generation With Leak-Prevention Mechanism Using Quantum Transformer Learning</t>
  </si>
  <si>
    <t xml:space="preserve">Five qubits</t>
  </si>
  <si>
    <t xml:space="preserve">10.1109/access.2025.3639179</t>
  </si>
  <si>
    <t xml:space="preserve">T M, Rajesh</t>
  </si>
  <si>
    <t xml:space="preserve">Quantum-Optimized Probabilistic U-Net With Quantum Entropy Calibration and Active Annotation for Reliable Sparse-Label MRI Brain Lesion Segmentations</t>
  </si>
  <si>
    <t xml:space="preserve">10.1109/access.2026.3663498</t>
  </si>
  <si>
    <t xml:space="preserve">Sar, Ayan</t>
  </si>
  <si>
    <t xml:space="preserve">Quantum Machine Learning in Medical Image Analysis: From Diagnostics to Surgery Planning</t>
  </si>
  <si>
    <t xml:space="preserve">10.1109/access.2026.3669206</t>
  </si>
  <si>
    <t xml:space="preserve">Lim, Su-Chang</t>
  </si>
  <si>
    <t xml:space="preserve">Hybrid Quantum-Classical UNet for Image Segmentation: Breaking the Parameter Scaling Barrier</t>
  </si>
  <si>
    <t xml:space="preserve">10.1109/access.2026.3677204</t>
  </si>
  <si>
    <t xml:space="preserve">Srivastava, Alok Kumar</t>
  </si>
  <si>
    <t xml:space="preserve">Quantum Kernel-Driven Hybrid Neural Network for Brain Tumor Classification</t>
  </si>
  <si>
    <t xml:space="preserve">six-qubit / 6 qubits</t>
  </si>
  <si>
    <t xml:space="preserve">10.1109/access.2026.3683415</t>
  </si>
  <si>
    <t xml:space="preserve">Charitha, Paladugu Sai</t>
  </si>
  <si>
    <t xml:space="preserve">QUARC-CL: Contrastive Quantum Autoencoders for Predicting Cardiovascular Risk From Fundus Images</t>
  </si>
  <si>
    <t xml:space="preserve">N ≤ 4</t>
  </si>
  <si>
    <t xml:space="preserve">10.1109/access.2026.3686925</t>
  </si>
  <si>
    <t xml:space="preserve">Misra, Neeraj Kumar</t>
  </si>
  <si>
    <t xml:space="preserve">Quantum Overflow Detection for Reliable Bioinspired Image Enhancement</t>
  </si>
  <si>
    <t xml:space="preserve">127 qubits</t>
  </si>
  <si>
    <t xml:space="preserve">10.1109/jbhi.2025.3596156</t>
  </si>
  <si>
    <t xml:space="preserve">Quantum federated learning in healthcare: The shift from development to deployment and from models to data</t>
  </si>
  <si>
    <t xml:space="preserve">IEEE Journal of Biomedical and Health Informatics</t>
  </si>
  <si>
    <t xml:space="preserve">10.1109/jbhi.2025.3610855</t>
  </si>
  <si>
    <t xml:space="preserve">Liu, Wei</t>
  </si>
  <si>
    <t xml:space="preserve">CQH-MPN: A Classical-Quantum Hybrid Prototype Network With Fuzzy Proximity-Based Classification for Early Glaucoma Diagnosis</t>
  </si>
  <si>
    <t xml:space="preserve">10.1109/tce.2024.3351649</t>
  </si>
  <si>
    <t xml:space="preserve">A Fusion of Supervised Contrastive Learning and Variational Quantum Classifiers</t>
  </si>
  <si>
    <t xml:space="preserve">IEEE Transactions on Consumer Electronics</t>
  </si>
  <si>
    <t xml:space="preserve">2 Q-bits</t>
  </si>
  <si>
    <t xml:space="preserve">10.1109/tqe.2025.3618295</t>
  </si>
  <si>
    <t xml:space="preserve">Quantum Optimization Approaches in Medical Imaging: Advances in Quantum Algorithms for Medical Tomography</t>
  </si>
  <si>
    <t xml:space="preserve">IEEE Transactions on Quantum Engineering</t>
  </si>
  <si>
    <t xml:space="preserve">each pixel of the tomographic image was represented using ten qubits</t>
  </si>
  <si>
    <t xml:space="preserve">10.1109/tqe.2026.3681530</t>
  </si>
  <si>
    <t xml:space="preserve">Ryou, Arim</t>
  </si>
  <si>
    <t xml:space="preserve">Quantum compressed sensing tomographic reconstruction algorithm</t>
  </si>
  <si>
    <t xml:space="preserve">10.1117/12.3085665</t>
  </si>
  <si>
    <t xml:space="preserve">Chen, Peng</t>
  </si>
  <si>
    <t xml:space="preserve">Prostate Cancer Classification Using Quantum Machine Learning on Multi-parametric MRI</t>
  </si>
  <si>
    <t xml:space="preserve">Proceedings of SPIE - Medical Imaging 2026: Imaging Informatics</t>
  </si>
  <si>
    <t xml:space="preserve">for 8 features equals 3 qubits</t>
  </si>
  <si>
    <t xml:space="preserve">10.1140/epjp/s13360-025-07148-5</t>
  </si>
  <si>
    <t xml:space="preserve">Ayata, Faruk</t>
  </si>
  <si>
    <t xml:space="preserve">MRI-based classification of lumbar spinal stenosis using a hybrid quantum and deep learning model</t>
  </si>
  <si>
    <t xml:space="preserve">European Physical Journal Plus</t>
  </si>
  <si>
    <t xml:space="preserve">Turkey</t>
  </si>
  <si>
    <t xml:space="preserve">10.1142/s1469026825500105</t>
  </si>
  <si>
    <t xml:space="preserve">Zahoor Ul Huq, S.</t>
  </si>
  <si>
    <t xml:space="preserve">Breast Cancer Detection and Classification Using Adaptively Regularized Fuzzy C-Means Based on Kernels Inception Transformer Quantum Generative Adversarial Network with Emperor Penguin Optimization</t>
  </si>
  <si>
    <t xml:space="preserve">International Journal of Computational Intelligence and Applications</t>
  </si>
  <si>
    <t xml:space="preserve">10.1155/2022/3236305</t>
  </si>
  <si>
    <t xml:space="preserve">Amin, Javeria</t>
  </si>
  <si>
    <t xml:space="preserve">A New Model for Brain Tumor Detection Using Ensemble Transfer Learning and Quantum Variational Classifier</t>
  </si>
  <si>
    <t xml:space="preserve">Computational Intelligence and Neuroscience</t>
  </si>
  <si>
    <t xml:space="preserve">Number of the quantum bits 4</t>
  </si>
  <si>
    <t xml:space="preserve">10.1186/s12880-023-01084-5</t>
  </si>
  <si>
    <t xml:space="preserve">Ajlouni, Naim</t>
  </si>
  <si>
    <t xml:space="preserve">Medical image diagnosis based on adaptive Hybrid Quantum CNN</t>
  </si>
  <si>
    <t xml:space="preserve">BMC Medical Imaging</t>
  </si>
  <si>
    <t xml:space="preserve">number of qubits is four</t>
  </si>
  <si>
    <t xml:space="preserve">10.1186/s12880-025-01813-y</t>
  </si>
  <si>
    <t xml:space="preserve">Huang, Xianzhi</t>
  </si>
  <si>
    <t xml:space="preserve">An integrated strategy based on radiomics and quantum machine learning: diagnosis and clinical interpretation of pulmonary ground-glass nodules</t>
  </si>
  <si>
    <t xml:space="preserve">10.1186/s12911-021-01588-6</t>
  </si>
  <si>
    <t xml:space="preserve">Sengupta, Kinshuk</t>
  </si>
  <si>
    <t xml:space="preserve">Quantum algorithm for quicker clinical prognostic analysis: an application and experimental study using CT scan images of COVID-19 patients</t>
  </si>
  <si>
    <t xml:space="preserve">BMC Medical Informatics and Decision Making</t>
  </si>
  <si>
    <t xml:space="preserve">2041 qubits system</t>
  </si>
  <si>
    <t xml:space="preserve">10.1371/journal.pone.0331870</t>
  </si>
  <si>
    <t xml:space="preserve">Islam, Mominul</t>
  </si>
  <si>
    <t xml:space="preserve">CQ-CNN: A lightweight hybrid classical-quantum convolutional neural network for Alzheimer's disease detection using 3D structural brain MRI</t>
  </si>
  <si>
    <t xml:space="preserve">PLOS ONE</t>
  </si>
  <si>
    <t xml:space="preserve">2-qubit and 3-qubit circuits</t>
  </si>
  <si>
    <t xml:space="preserve">Code, data and weights</t>
  </si>
  <si>
    <t xml:space="preserve">10.2174/0115734056317489240808094924</t>
  </si>
  <si>
    <t xml:space="preserve">Shahwar, Tayyaba</t>
  </si>
  <si>
    <t xml:space="preserve">Classification of Pneumonia via a Hybrid ZFNet-Quantum Neural Network Using a Chest X-ray Dataset</t>
  </si>
  <si>
    <t xml:space="preserve">Current Medical Imaging</t>
  </si>
  <si>
    <t xml:space="preserve">4</t>
  </si>
  <si>
    <t xml:space="preserve">10.22331/q-2022-12-22-881</t>
  </si>
  <si>
    <t xml:space="preserve">Landman, Jonas</t>
  </si>
  <si>
    <t xml:space="preserve">Quantum Methods for Neural Networks and Application to Medical Image Classification</t>
  </si>
  <si>
    <t xml:space="preserve">Quantum</t>
  </si>
  <si>
    <t xml:space="preserve">France</t>
  </si>
  <si>
    <t xml:space="preserve">9-qubit circuits</t>
  </si>
  <si>
    <t xml:space="preserve">10.3389/fdgth.2023.1283726</t>
  </si>
  <si>
    <t xml:space="preserve">Chrisochoides, Nikos</t>
  </si>
  <si>
    <t xml:space="preserve">Comparison of physics-based deformable registration methods for image-guided neurosurgery</t>
  </si>
  <si>
    <t xml:space="preserve">Frontiers in Digital Health</t>
  </si>
  <si>
    <t xml:space="preserve">increasing number n of data encoding qubits (n &gt; 5)</t>
  </si>
  <si>
    <t xml:space="preserve">10.3389/fmed.2025.1677234</t>
  </si>
  <si>
    <t xml:space="preserve">Priyadharshini, M.</t>
  </si>
  <si>
    <t xml:space="preserve">QBrainNet: harnessing enhanced quantum intelligence for advanced brain stroke prediction from medical imaging</t>
  </si>
  <si>
    <t xml:space="preserve">Frontiers in Medicine</t>
  </si>
  <si>
    <t xml:space="preserve">10.3389/fonc.2025.1553539</t>
  </si>
  <si>
    <t xml:space="preserve">Glenn, Rachel</t>
  </si>
  <si>
    <t xml:space="preserve">Evaluation of quantum contouring algorithms for treatment planning on MR abdominal images</t>
  </si>
  <si>
    <t xml:space="preserve">Frontiers in Oncology</t>
  </si>
  <si>
    <t xml:space="preserve">least 12 qubits using NAQSS encoding</t>
  </si>
  <si>
    <t xml:space="preserve">10.3389/fphy.2022.1046314</t>
  </si>
  <si>
    <t xml:space="preserve">Li, Ziyi</t>
  </si>
  <si>
    <t xml:space="preserve">A classification method for multi-class skin damage images combining quantum computing and Inception-ResNet-V1</t>
  </si>
  <si>
    <t xml:space="preserve">Frontiers in Physics</t>
  </si>
  <si>
    <t xml:space="preserve">10.3389/fphy.2023.1212373</t>
  </si>
  <si>
    <t xml:space="preserve">Dong, Yumin</t>
  </si>
  <si>
    <t xml:space="preserve">Classification of knee osteoarthritis based on quantum-to-classical transfer learning</t>
  </si>
  <si>
    <t xml:space="preserve">4-qubit dressed quantum circuit</t>
  </si>
  <si>
    <t xml:space="preserve">10.3389/fpsyt.2025.1648060</t>
  </si>
  <si>
    <t xml:space="preserve">Quantum AI for psychiatric diagnosis: enhancing dementia classification with quantum machine learning</t>
  </si>
  <si>
    <t xml:space="preserve">Frontiers in Psychiatry</t>
  </si>
  <si>
    <t xml:space="preserve">2-qubit</t>
  </si>
  <si>
    <t xml:space="preserve">10.3390/a19040279</t>
  </si>
  <si>
    <t xml:space="preserve">Gupta, Sandeep</t>
  </si>
  <si>
    <t xml:space="preserve">Quantum-Enhanced Multimodal Fusion Networks for Integrated Cancer Diagnosis: Combining CT, Genomics, and Clinical Records</t>
  </si>
  <si>
    <t xml:space="preserve">Algorithms</t>
  </si>
  <si>
    <t xml:space="preserve">28 qubits in total</t>
  </si>
  <si>
    <t xml:space="preserve">10.3390/ai6020036</t>
  </si>
  <si>
    <t xml:space="preserve">Gordienko, Yuri</t>
  </si>
  <si>
    <t xml:space="preserve">HNN-QCn: Hybrid Neural Network with Multiple Backbones and Quantum Transformation as Data Augmentation Technique</t>
  </si>
  <si>
    <t xml:space="preserve">AI</t>
  </si>
  <si>
    <t xml:space="preserve">Ukraine</t>
  </si>
  <si>
    <t xml:space="preserve">4 (W4) and 9 (W9) qubits</t>
  </si>
  <si>
    <t xml:space="preserve">10.3390/app13064009</t>
  </si>
  <si>
    <t xml:space="preserve">Koukiou, Georgia</t>
  </si>
  <si>
    <t xml:space="preserve">Quantum 3D FFT in Tomography</t>
  </si>
  <si>
    <t xml:space="preserve">Applied Sciences</t>
  </si>
  <si>
    <t xml:space="preserve">Greece</t>
  </si>
  <si>
    <t xml:space="preserve">register | P&gt; having 3n qubits</t>
  </si>
  <si>
    <t xml:space="preserve">10.3390/bdcc10010012</t>
  </si>
  <si>
    <t xml:space="preserve">Halab, Khidhr</t>
  </si>
  <si>
    <t xml:space="preserve">QU-Net: Quantum-Enhanced U-Net for Self Supervised Embedding and Classification of Skin Cancer Images</t>
  </si>
  <si>
    <t xml:space="preserve">Big Data and Cognitive Computing</t>
  </si>
  <si>
    <t xml:space="preserve">Canada</t>
  </si>
  <si>
    <t xml:space="preserve">7 qubits</t>
  </si>
  <si>
    <t xml:space="preserve">10.3390/bioengineering11080799</t>
  </si>
  <si>
    <t xml:space="preserve">Martis, Jason Elroy</t>
  </si>
  <si>
    <t xml:space="preserve">Novel Hybrid Quantum Architecture-Based Lung Cancer Detection Using Chest Radiograph and Computerized Tomography Images</t>
  </si>
  <si>
    <t xml:space="preserve">Bioengineering</t>
  </si>
  <si>
    <t xml:space="preserve">Kuwait</t>
  </si>
  <si>
    <t xml:space="preserve">10.3390/bioengineering12040326</t>
  </si>
  <si>
    <t xml:space="preserve">Khan, Abdullah</t>
  </si>
  <si>
    <t xml:space="preserve">CAD-Skin: A Hybrid Convolutional Neural Network-Autoencoder Framework for Precise Detection and Classification of Skin Lesions and Cancer</t>
  </si>
  <si>
    <t xml:space="preserve">10.3390/biomedinformatics5030051</t>
  </si>
  <si>
    <t xml:space="preserve">Marzoug, Nabil</t>
  </si>
  <si>
    <t xml:space="preserve">Quantum-Enhanced Dual-Backbone Architecture for Accurate Gastrointestinal Disease Detection Using Endoscopic Imaging</t>
  </si>
  <si>
    <t xml:space="preserve">BioMedInformatics</t>
  </si>
  <si>
    <t xml:space="preserve">Endoscopy</t>
  </si>
  <si>
    <t xml:space="preserve">four-qubit quantum circuit</t>
  </si>
  <si>
    <t xml:space="preserve">10.3390/brainsci14040401</t>
  </si>
  <si>
    <t xml:space="preserve">Jeon, Yeong-Jae</t>
  </si>
  <si>
    <t xml:space="preserve">Predicting Brain Age and Gender from Brain Volume Data Using Variational Quantum Circuits</t>
  </si>
  <si>
    <t xml:space="preserve">Brain Sciences</t>
  </si>
  <si>
    <t xml:space="preserve">17 qubits</t>
  </si>
  <si>
    <t xml:space="preserve">10.3390/computation13120278</t>
  </si>
  <si>
    <t xml:space="preserve">Khmelnytskyi, Arsenii</t>
  </si>
  <si>
    <t xml:space="preserve">Impact of Scaling Classic Component on Performance of Hybrid Multi-Backbone Quantum–Classic Neural Networks for Medical Applications</t>
  </si>
  <si>
    <t xml:space="preserve">Computation</t>
  </si>
  <si>
    <t xml:space="preserve">four-qubit</t>
  </si>
  <si>
    <t xml:space="preserve">10.3390/diagnostics14050558</t>
  </si>
  <si>
    <t xml:space="preserve">Lusnig, Luca</t>
  </si>
  <si>
    <t xml:space="preserve">Hybrid Quantum Image Classification and Federated Learning for Hepatic Steatosis Diagnosis</t>
  </si>
  <si>
    <t xml:space="preserve">Diagnostics</t>
  </si>
  <si>
    <t xml:space="preserve">Italy</t>
  </si>
  <si>
    <t xml:space="preserve">10.3390/electronics11050721</t>
  </si>
  <si>
    <t xml:space="preserve">Automated Detection of Alzheimer's via Hybrid Classical Quantum Neural Networks</t>
  </si>
  <si>
    <t xml:space="preserve">Electronics</t>
  </si>
  <si>
    <t xml:space="preserve">10.3390/jimaging9070128</t>
  </si>
  <si>
    <t xml:space="preserve">Decoodt, Pierre</t>
  </si>
  <si>
    <t xml:space="preserve">Hybrid Classical-Quantum Transfer Learning for Cardiomegaly Detection in Chest X-rays</t>
  </si>
  <si>
    <t xml:space="preserve">Journal of Imaging</t>
  </si>
  <si>
    <t xml:space="preserve">4, 6, 8 and 10 qubits</t>
  </si>
  <si>
    <t xml:space="preserve">10.3390/jimaging9100221</t>
  </si>
  <si>
    <t xml:space="preserve">Exploring the Limitations of Hybrid Adiabatic Quantum Computing for Emission Tomography Reconstruction</t>
  </si>
  <si>
    <t xml:space="preserve">10.3390/life15071124</t>
  </si>
  <si>
    <t xml:space="preserve">Selvaraj, Jothiraj</t>
  </si>
  <si>
    <t xml:space="preserve">Binary and Multi-Class Classification of Colorectal Polyps Using CRP-ViT: A Comparative Study Between CNNs and QNNs</t>
  </si>
  <si>
    <t xml:space="preserve">Life</t>
  </si>
  <si>
    <t xml:space="preserve">10.4018/ijehmc.321149</t>
  </si>
  <si>
    <t xml:space="preserve">Kodipalli, Ashwini</t>
  </si>
  <si>
    <t xml:space="preserve">Computational Framework of Inverted Fuzzy C-Means and Quantum Convolutional Neural Network Towards Accurate Detection of Ovarian Tumors</t>
  </si>
  <si>
    <t xml:space="preserve">International Journal of E-Health and Medical Communications</t>
  </si>
  <si>
    <t xml:space="preserve">The QCNN has 16 qubits</t>
  </si>
  <si>
    <t xml:space="preserve">10.56042/jsir.v84i1.14112</t>
  </si>
  <si>
    <t xml:space="preserve">Rajamohana, S P</t>
  </si>
  <si>
    <t xml:space="preserve">Hybrid Quantum Graph Neural Network for Brain Tumor MR Image Classification</t>
  </si>
  <si>
    <t xml:space="preserve">Journal of Scientific &amp; Industrial Research</t>
  </si>
  <si>
    <t xml:space="preserve">10.62347/wohq8174</t>
  </si>
  <si>
    <t xml:space="preserve">Sun, Yuyang</t>
  </si>
  <si>
    <t xml:space="preserve">Quantum dual-branch neural networks with transfer learning for early detection of skin cancer</t>
  </si>
  <si>
    <t xml:space="preserve">American Journal of Translational Research</t>
  </si>
  <si>
    <t xml:space="preserve">10.7717/peerj-cs.3387</t>
  </si>
  <si>
    <t xml:space="preserve">S., Sabari Vasan</t>
  </si>
  <si>
    <t xml:space="preserve">Alzheimer's disease detection using a quantum deep neural network with Haralick feature extraction and simulated annealing optimization</t>
  </si>
  <si>
    <t xml:space="preserve">PeerJ Computer Science</t>
  </si>
  <si>
    <t xml:space="preserve">Supplementary Table S1. Included studies (N = 133) with their extracted characteristics</t>
  </si>
  <si>
    <t xml:space="preserve">Quantum Computing for Medical Imaging Applications: A PRISMA-Compliant Systematic Review (IEEE TRPMS).</t>
  </si>
  <si>
    <t xml:space="preserve">Contents</t>
  </si>
  <si>
    <t xml:space="preserve">Sheet "S1_included_studies": one row per included study, ordered by the reference number of the study in the manuscript bibliography.</t>
  </si>
  <si>
    <t xml:space="preserve">Sheet "Checks": counts computed by formula from S1 and compared with the values reported in Section III of the manuscript.</t>
  </si>
  <si>
    <t xml:space="preserve">Source of every value</t>
  </si>
  <si>
    <t xml:space="preserve">All characteristics are copied from the committed extraction workbook 7-Manuscript/supp_enrich/out/extractions_ai_enriched_v134.xlsx in the public repository https://github.com/lpapp-muw/qc-medimaging-review, restricted to the 133 included studies (the workbook also holds the study excluded during the critical appraisal). Values were extracted by AI with verbatim-quote grounding and derived by deterministic scripts, as described in Sections II-E to II-G of the manuscript. Nothing was re-extracted for this table.</t>
  </si>
  <si>
    <t xml:space="preserve">Dataset realism applies the post-appraisal correction overlay 7-Manuscript/provenance/extraction_corrections_post_appraisal.json (two studies, one moved from single-center to multi-center and one in the opposite direction).</t>
  </si>
  <si>
    <t xml:space="preserve">Publication year is taken from the co-author extraction (6-InterRaterKappa/human.xlsx), because the AI workbook does not carry it. Country names are merged for spelling variants only (for example Republic of Korea and South Korea).</t>
  </si>
  <si>
    <t xml:space="preserve">Ref. no. is the reference number of the study in the submitted manuscript.</t>
  </si>
  <si>
    <t xml:space="preserve">Column notes</t>
  </si>
  <si>
    <t xml:space="preserve">Imaging task, Task family, Modality, Quantum paradigm and Execution context are the derived axes A to D (Section II-G). Imaging task is the single primary task label.</t>
  </si>
  <si>
    <t xml:space="preserve">Execution context is the authoritative execution field. Hardware modality is the extracted field as recorded. For 10.1109/access.2025.3531407 it reads superconducting although the execution was corrected to simulator (see the repository README).</t>
  </si>
  <si>
    <t xml:space="preserve">Qubit count is shown as reported in the paper, before the parsing rule used for the circuit-width summary (Section III-D).</t>
  </si>
  <si>
    <t xml:space="preserve">Clinical-readiness and resource-accounting scores are defined in Section II-H. The resource-accounting score counts quantities reported in the main text.</t>
  </si>
  <si>
    <t xml:space="preserve">Quality-fit subset marks the seven studies meeting the pre-registered sensitivity criteria (Section III-H).</t>
  </si>
  <si>
    <t xml:space="preserve">Quantity</t>
  </si>
  <si>
    <t xml:space="preserve">Column</t>
  </si>
  <si>
    <t xml:space="preserve">Value counted</t>
  </si>
  <si>
    <t xml:space="preserve">Count in this table</t>
  </si>
  <si>
    <t xml:space="preserve">Value in the manuscript</t>
  </si>
  <si>
    <t xml:space="preserve">Match</t>
  </si>
  <si>
    <t xml:space="preserve">Included studies</t>
  </si>
  <si>
    <t xml:space="preserve">(rows)</t>
  </si>
  <si>
    <t xml:space="preserve">Predictive task family</t>
  </si>
  <si>
    <t xml:space="preserve">Hardware modality simulator only</t>
  </si>
  <si>
    <t xml:space="preserve">Hardware modality annealer</t>
  </si>
  <si>
    <t xml:space="preserve">Classical baseline present</t>
  </si>
  <si>
    <t xml:space="preserve">Strictest baseline rigor</t>
  </si>
  <si>
    <t xml:space="preserve">Reproducibility tier none</t>
  </si>
  <si>
    <t xml:space="preserve">Clinical-readiness score 0</t>
  </si>
  <si>
    <t xml:space="preserve">Resource-accounting score 1</t>
  </si>
  <si>
    <t xml:space="preserve">Corresponding author in India</t>
  </si>
  <si>
    <t xml:space="preserve">Corresponding author in China</t>
  </si>
  <si>
    <t xml:space="preserve">Published 2025</t>
  </si>
  <si>
    <t xml:space="preserve">Published 2026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</si>
</sst>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9D4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9D4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20"/>
    <col collapsed="false" customWidth="true" hidden="false" outlineLevel="0" max="4" min="4" style="0" width="7"/>
    <col collapsed="false" customWidth="true" hidden="false" outlineLevel="0" max="5" min="5" style="0" width="60"/>
    <col collapsed="false" customWidth="true" hidden="false" outlineLevel="0" max="6" min="6" style="0" width="30"/>
    <col collapsed="false" customWidth="true" hidden="false" outlineLevel="0" max="7" min="7" style="0" width="18"/>
    <col collapsed="false" customWidth="true" hidden="false" outlineLevel="0" max="10" min="8" style="0" width="16"/>
    <col collapsed="false" customWidth="true" hidden="false" outlineLevel="0" max="11" min="11" style="0" width="10"/>
    <col collapsed="false" customWidth="true" hidden="false" outlineLevel="0" max="12" min="12" style="0" width="26"/>
    <col collapsed="false" customWidth="true" hidden="false" outlineLevel="0" max="13" min="13" style="0" width="24"/>
    <col collapsed="false" customWidth="true" hidden="false" outlineLevel="0" max="14" min="14" style="0" width="16"/>
    <col collapsed="false" customWidth="true" hidden="false" outlineLevel="0" max="15" min="15" style="0" width="26"/>
    <col collapsed="false" customWidth="true" hidden="false" outlineLevel="0" max="16" min="16" style="0" width="22"/>
    <col collapsed="false" customWidth="true" hidden="false" outlineLevel="0" max="17" min="17" style="0" width="10"/>
    <col collapsed="false" customWidth="true" hidden="false" outlineLevel="0" max="18" min="18" style="0" width="30"/>
    <col collapsed="false" customWidth="true" hidden="false" outlineLevel="0" max="20" min="19" style="0" width="10"/>
    <col collapsed="false" customWidth="true" hidden="false" outlineLevel="0" max="21" min="21" style="0" width="24"/>
    <col collapsed="false" customWidth="true" hidden="false" outlineLevel="0" max="22" min="22" style="0" width="20"/>
    <col collapsed="false" customWidth="true" hidden="false" outlineLevel="0" max="24" min="23" style="0" width="12"/>
    <col collapsed="false" customWidth="true" hidden="false" outlineLevel="0" max="25" min="25" style="0" width="10"/>
  </cols>
  <sheetData>
    <row r="1" customFormat="false" ht="42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customFormat="false" ht="22.35" hidden="false" customHeight="false" outlineLevel="0" collapsed="false">
      <c r="A2" s="2" t="n">
        <v>9</v>
      </c>
      <c r="B2" s="2" t="s">
        <v>25</v>
      </c>
      <c r="C2" s="2" t="s">
        <v>26</v>
      </c>
      <c r="D2" s="2" t="n">
        <v>2024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31</v>
      </c>
      <c r="J2" s="2" t="s">
        <v>32</v>
      </c>
      <c r="K2" s="2" t="s">
        <v>33</v>
      </c>
      <c r="L2" s="2" t="s">
        <v>34</v>
      </c>
      <c r="M2" s="2" t="s">
        <v>35</v>
      </c>
      <c r="N2" s="2" t="s">
        <v>36</v>
      </c>
      <c r="O2" s="2" t="s">
        <v>37</v>
      </c>
      <c r="P2" s="2" t="s">
        <v>38</v>
      </c>
      <c r="Q2" s="2" t="s">
        <v>39</v>
      </c>
      <c r="R2" s="2" t="s">
        <v>40</v>
      </c>
      <c r="S2" s="2" t="s">
        <v>33</v>
      </c>
      <c r="T2" s="2" t="s">
        <v>33</v>
      </c>
      <c r="U2" s="2" t="s">
        <v>41</v>
      </c>
      <c r="V2" s="2" t="s">
        <v>42</v>
      </c>
      <c r="W2" s="2" t="n">
        <v>0</v>
      </c>
      <c r="X2" s="2" t="n">
        <v>1</v>
      </c>
      <c r="Y2" s="2" t="s">
        <v>33</v>
      </c>
    </row>
    <row r="3" customFormat="false" ht="22.35" hidden="false" customHeight="false" outlineLevel="0" collapsed="false">
      <c r="A3" s="2" t="n">
        <v>10</v>
      </c>
      <c r="B3" s="2" t="s">
        <v>43</v>
      </c>
      <c r="C3" s="2" t="s">
        <v>44</v>
      </c>
      <c r="D3" s="2" t="n">
        <v>2022</v>
      </c>
      <c r="E3" s="2" t="s">
        <v>45</v>
      </c>
      <c r="F3" s="2" t="s">
        <v>46</v>
      </c>
      <c r="G3" s="2" t="s">
        <v>47</v>
      </c>
      <c r="H3" s="2" t="s">
        <v>30</v>
      </c>
      <c r="I3" s="2" t="s">
        <v>31</v>
      </c>
      <c r="J3" s="2" t="s">
        <v>48</v>
      </c>
      <c r="K3" s="2" t="s">
        <v>33</v>
      </c>
      <c r="L3" s="2" t="s">
        <v>34</v>
      </c>
      <c r="M3" s="2" t="s">
        <v>49</v>
      </c>
      <c r="N3" s="2" t="s">
        <v>50</v>
      </c>
      <c r="O3" s="2" t="s">
        <v>51</v>
      </c>
      <c r="P3" s="2" t="s">
        <v>38</v>
      </c>
      <c r="Q3" s="2" t="s">
        <v>39</v>
      </c>
      <c r="R3" s="2" t="s">
        <v>52</v>
      </c>
      <c r="S3" s="2" t="s">
        <v>33</v>
      </c>
      <c r="T3" s="2" t="s">
        <v>33</v>
      </c>
      <c r="U3" s="2" t="s">
        <v>53</v>
      </c>
      <c r="V3" s="2" t="s">
        <v>54</v>
      </c>
      <c r="W3" s="2" t="n">
        <v>0</v>
      </c>
      <c r="X3" s="2" t="n">
        <v>2</v>
      </c>
      <c r="Y3" s="2" t="s">
        <v>33</v>
      </c>
    </row>
    <row r="4" customFormat="false" ht="32.8" hidden="false" customHeight="false" outlineLevel="0" collapsed="false">
      <c r="A4" s="2" t="n">
        <v>11</v>
      </c>
      <c r="B4" s="2" t="s">
        <v>55</v>
      </c>
      <c r="C4" s="2" t="s">
        <v>56</v>
      </c>
      <c r="D4" s="2" t="n">
        <v>2023</v>
      </c>
      <c r="E4" s="2" t="s">
        <v>57</v>
      </c>
      <c r="F4" s="2" t="s">
        <v>58</v>
      </c>
      <c r="G4" s="2" t="s">
        <v>59</v>
      </c>
      <c r="H4" s="2" t="s">
        <v>60</v>
      </c>
      <c r="I4" s="2" t="s">
        <v>61</v>
      </c>
      <c r="J4" s="2" t="s">
        <v>62</v>
      </c>
      <c r="K4" s="2" t="s">
        <v>39</v>
      </c>
      <c r="L4" s="2" t="s">
        <v>63</v>
      </c>
      <c r="M4" s="2" t="s">
        <v>35</v>
      </c>
      <c r="N4" s="2" t="s">
        <v>64</v>
      </c>
      <c r="O4" s="2" t="s">
        <v>65</v>
      </c>
      <c r="P4" s="2" t="s">
        <v>66</v>
      </c>
      <c r="Q4" s="2" t="s">
        <v>39</v>
      </c>
      <c r="R4" s="2" t="s">
        <v>40</v>
      </c>
      <c r="S4" s="2" t="s">
        <v>39</v>
      </c>
      <c r="T4" s="2" t="s">
        <v>33</v>
      </c>
      <c r="U4" s="2" t="s">
        <v>67</v>
      </c>
      <c r="V4" s="2" t="s">
        <v>68</v>
      </c>
      <c r="W4" s="2" t="n">
        <v>0</v>
      </c>
      <c r="X4" s="2" t="n">
        <v>1</v>
      </c>
      <c r="Y4" s="2" t="s">
        <v>39</v>
      </c>
    </row>
    <row r="5" customFormat="false" ht="22.35" hidden="false" customHeight="false" outlineLevel="0" collapsed="false">
      <c r="A5" s="2" t="n">
        <v>12</v>
      </c>
      <c r="B5" s="2" t="s">
        <v>69</v>
      </c>
      <c r="C5" s="2" t="s">
        <v>44</v>
      </c>
      <c r="D5" s="2" t="n">
        <v>2022</v>
      </c>
      <c r="E5" s="2" t="s">
        <v>70</v>
      </c>
      <c r="F5" s="2" t="s">
        <v>71</v>
      </c>
      <c r="G5" s="2" t="s">
        <v>72</v>
      </c>
      <c r="H5" s="2" t="s">
        <v>73</v>
      </c>
      <c r="I5" s="2" t="s">
        <v>73</v>
      </c>
      <c r="J5" s="2" t="s">
        <v>32</v>
      </c>
      <c r="K5" s="2" t="s">
        <v>33</v>
      </c>
      <c r="L5" s="2" t="s">
        <v>34</v>
      </c>
      <c r="M5" s="2" t="s">
        <v>49</v>
      </c>
      <c r="N5" s="2" t="s">
        <v>50</v>
      </c>
      <c r="O5" s="2" t="s">
        <v>74</v>
      </c>
      <c r="P5" s="2" t="s">
        <v>38</v>
      </c>
      <c r="Q5" s="2" t="s">
        <v>39</v>
      </c>
      <c r="R5" s="2" t="s">
        <v>75</v>
      </c>
      <c r="S5" s="2" t="s">
        <v>33</v>
      </c>
      <c r="T5" s="2" t="s">
        <v>33</v>
      </c>
      <c r="U5" s="2" t="s">
        <v>53</v>
      </c>
      <c r="V5" s="2" t="s">
        <v>68</v>
      </c>
      <c r="W5" s="2" t="n">
        <v>0</v>
      </c>
      <c r="X5" s="2" t="n">
        <v>1</v>
      </c>
      <c r="Y5" s="2" t="s">
        <v>33</v>
      </c>
    </row>
    <row r="6" customFormat="false" ht="22.35" hidden="false" customHeight="false" outlineLevel="0" collapsed="false">
      <c r="A6" s="2" t="n">
        <v>13</v>
      </c>
      <c r="B6" s="2" t="s">
        <v>76</v>
      </c>
      <c r="C6" s="2" t="s">
        <v>77</v>
      </c>
      <c r="D6" s="2" t="n">
        <v>2023</v>
      </c>
      <c r="E6" s="2" t="s">
        <v>78</v>
      </c>
      <c r="F6" s="2" t="s">
        <v>71</v>
      </c>
      <c r="G6" s="2" t="s">
        <v>29</v>
      </c>
      <c r="H6" s="2" t="s">
        <v>30</v>
      </c>
      <c r="I6" s="2" t="s">
        <v>31</v>
      </c>
      <c r="J6" s="2" t="s">
        <v>79</v>
      </c>
      <c r="K6" s="2" t="s">
        <v>39</v>
      </c>
      <c r="L6" s="2" t="s">
        <v>34</v>
      </c>
      <c r="M6" s="2" t="s">
        <v>49</v>
      </c>
      <c r="N6" s="2" t="s">
        <v>50</v>
      </c>
      <c r="O6" s="2" t="s">
        <v>80</v>
      </c>
      <c r="P6" s="2" t="s">
        <v>38</v>
      </c>
      <c r="Q6" s="2" t="s">
        <v>39</v>
      </c>
      <c r="R6" s="2" t="s">
        <v>81</v>
      </c>
      <c r="S6" s="2" t="s">
        <v>39</v>
      </c>
      <c r="T6" s="2" t="s">
        <v>33</v>
      </c>
      <c r="U6" s="2" t="s">
        <v>41</v>
      </c>
      <c r="V6" s="2" t="s">
        <v>68</v>
      </c>
      <c r="W6" s="2" t="n">
        <v>0</v>
      </c>
      <c r="X6" s="2" t="n">
        <v>1</v>
      </c>
      <c r="Y6" s="2" t="s">
        <v>33</v>
      </c>
    </row>
    <row r="7" customFormat="false" ht="15" hidden="false" customHeight="false" outlineLevel="0" collapsed="false">
      <c r="A7" s="2" t="n">
        <v>14</v>
      </c>
      <c r="B7" s="2" t="s">
        <v>82</v>
      </c>
      <c r="C7" s="2" t="s">
        <v>44</v>
      </c>
      <c r="D7" s="2" t="n">
        <v>2023</v>
      </c>
      <c r="E7" s="2" t="s">
        <v>83</v>
      </c>
      <c r="F7" s="2" t="s">
        <v>71</v>
      </c>
      <c r="G7" s="2" t="s">
        <v>72</v>
      </c>
      <c r="H7" s="2" t="s">
        <v>73</v>
      </c>
      <c r="I7" s="2" t="s">
        <v>73</v>
      </c>
      <c r="J7" s="2" t="s">
        <v>32</v>
      </c>
      <c r="K7" s="2" t="s">
        <v>33</v>
      </c>
      <c r="L7" s="2" t="s">
        <v>63</v>
      </c>
      <c r="M7" s="2" t="s">
        <v>49</v>
      </c>
      <c r="N7" s="2" t="s">
        <v>50</v>
      </c>
      <c r="O7" s="2" t="s">
        <v>84</v>
      </c>
      <c r="P7" s="2" t="s">
        <v>66</v>
      </c>
      <c r="Q7" s="2" t="s">
        <v>39</v>
      </c>
      <c r="R7" s="2" t="s">
        <v>75</v>
      </c>
      <c r="S7" s="2" t="s">
        <v>33</v>
      </c>
      <c r="T7" s="2" t="s">
        <v>39</v>
      </c>
      <c r="U7" s="2" t="s">
        <v>41</v>
      </c>
      <c r="V7" s="2" t="s">
        <v>68</v>
      </c>
      <c r="W7" s="2" t="n">
        <v>1</v>
      </c>
      <c r="X7" s="2" t="n">
        <v>1</v>
      </c>
      <c r="Y7" s="2" t="s">
        <v>33</v>
      </c>
    </row>
    <row r="8" customFormat="false" ht="22.35" hidden="false" customHeight="false" outlineLevel="0" collapsed="false">
      <c r="A8" s="2" t="n">
        <v>15</v>
      </c>
      <c r="B8" s="2" t="s">
        <v>85</v>
      </c>
      <c r="C8" s="2" t="s">
        <v>86</v>
      </c>
      <c r="D8" s="2" t="n">
        <v>2023</v>
      </c>
      <c r="E8" s="2" t="s">
        <v>87</v>
      </c>
      <c r="F8" s="2" t="s">
        <v>71</v>
      </c>
      <c r="G8" s="2" t="s">
        <v>29</v>
      </c>
      <c r="H8" s="2" t="s">
        <v>30</v>
      </c>
      <c r="I8" s="2" t="s">
        <v>31</v>
      </c>
      <c r="J8" s="2" t="s">
        <v>79</v>
      </c>
      <c r="K8" s="2" t="s">
        <v>39</v>
      </c>
      <c r="L8" s="2" t="s">
        <v>63</v>
      </c>
      <c r="M8" s="2" t="s">
        <v>49</v>
      </c>
      <c r="N8" s="2" t="s">
        <v>50</v>
      </c>
      <c r="O8" s="2" t="s">
        <v>88</v>
      </c>
      <c r="P8" s="2" t="s">
        <v>38</v>
      </c>
      <c r="Q8" s="2" t="s">
        <v>39</v>
      </c>
      <c r="R8" s="2" t="s">
        <v>52</v>
      </c>
      <c r="S8" s="2" t="s">
        <v>33</v>
      </c>
      <c r="T8" s="2" t="s">
        <v>33</v>
      </c>
      <c r="U8" s="2" t="s">
        <v>53</v>
      </c>
      <c r="V8" s="2" t="s">
        <v>68</v>
      </c>
      <c r="W8" s="2" t="n">
        <v>0</v>
      </c>
      <c r="X8" s="2" t="n">
        <v>2</v>
      </c>
      <c r="Y8" s="2" t="s">
        <v>33</v>
      </c>
    </row>
    <row r="9" customFormat="false" ht="32.8" hidden="false" customHeight="false" outlineLevel="0" collapsed="false">
      <c r="A9" s="2" t="n">
        <v>16</v>
      </c>
      <c r="B9" s="2" t="s">
        <v>89</v>
      </c>
      <c r="C9" s="2" t="s">
        <v>90</v>
      </c>
      <c r="D9" s="2" t="n">
        <v>2023</v>
      </c>
      <c r="E9" s="2" t="s">
        <v>91</v>
      </c>
      <c r="F9" s="2" t="s">
        <v>92</v>
      </c>
      <c r="G9" s="2" t="s">
        <v>93</v>
      </c>
      <c r="H9" s="2" t="s">
        <v>30</v>
      </c>
      <c r="I9" s="2" t="s">
        <v>31</v>
      </c>
      <c r="J9" s="2" t="s">
        <v>32</v>
      </c>
      <c r="K9" s="2" t="s">
        <v>33</v>
      </c>
      <c r="L9" s="2" t="s">
        <v>63</v>
      </c>
      <c r="M9" s="2" t="s">
        <v>35</v>
      </c>
      <c r="N9" s="2" t="s">
        <v>36</v>
      </c>
      <c r="O9" s="2" t="s">
        <v>80</v>
      </c>
      <c r="P9" s="2" t="s">
        <v>94</v>
      </c>
      <c r="Q9" s="2" t="s">
        <v>39</v>
      </c>
      <c r="R9" s="2" t="s">
        <v>52</v>
      </c>
      <c r="S9" s="2" t="s">
        <v>33</v>
      </c>
      <c r="T9" s="2" t="s">
        <v>33</v>
      </c>
      <c r="U9" s="2" t="s">
        <v>53</v>
      </c>
      <c r="V9" s="2" t="s">
        <v>68</v>
      </c>
      <c r="W9" s="2" t="n">
        <v>0</v>
      </c>
      <c r="X9" s="2" t="n">
        <v>2</v>
      </c>
      <c r="Y9" s="2" t="s">
        <v>33</v>
      </c>
    </row>
    <row r="10" customFormat="false" ht="32.8" hidden="false" customHeight="false" outlineLevel="0" collapsed="false">
      <c r="A10" s="2" t="n">
        <v>17</v>
      </c>
      <c r="B10" s="2" t="s">
        <v>95</v>
      </c>
      <c r="C10" s="2" t="s">
        <v>96</v>
      </c>
      <c r="D10" s="2" t="n">
        <v>2025</v>
      </c>
      <c r="E10" s="2" t="s">
        <v>97</v>
      </c>
      <c r="F10" s="2" t="s">
        <v>98</v>
      </c>
      <c r="G10" s="2" t="s">
        <v>99</v>
      </c>
      <c r="H10" s="2" t="s">
        <v>73</v>
      </c>
      <c r="I10" s="2" t="s">
        <v>73</v>
      </c>
      <c r="J10" s="2" t="s">
        <v>100</v>
      </c>
      <c r="K10" s="2" t="s">
        <v>39</v>
      </c>
      <c r="L10" s="2" t="s">
        <v>63</v>
      </c>
      <c r="M10" s="2" t="s">
        <v>49</v>
      </c>
      <c r="N10" s="2" t="s">
        <v>50</v>
      </c>
      <c r="O10" s="2" t="s">
        <v>101</v>
      </c>
      <c r="P10" s="2" t="s">
        <v>38</v>
      </c>
      <c r="Q10" s="2" t="s">
        <v>39</v>
      </c>
      <c r="R10" s="2" t="s">
        <v>81</v>
      </c>
      <c r="S10" s="2" t="s">
        <v>39</v>
      </c>
      <c r="T10" s="2" t="s">
        <v>33</v>
      </c>
      <c r="U10" s="2" t="s">
        <v>41</v>
      </c>
      <c r="V10" s="2" t="s">
        <v>68</v>
      </c>
      <c r="W10" s="2" t="n">
        <v>0</v>
      </c>
      <c r="X10" s="2" t="n">
        <v>1</v>
      </c>
      <c r="Y10" s="2" t="s">
        <v>33</v>
      </c>
    </row>
    <row r="11" customFormat="false" ht="32.8" hidden="false" customHeight="false" outlineLevel="0" collapsed="false">
      <c r="A11" s="2" t="n">
        <v>18</v>
      </c>
      <c r="B11" s="2" t="s">
        <v>102</v>
      </c>
      <c r="C11" s="2" t="s">
        <v>103</v>
      </c>
      <c r="D11" s="2" t="n">
        <v>2025</v>
      </c>
      <c r="E11" s="2" t="s">
        <v>104</v>
      </c>
      <c r="F11" s="2" t="s">
        <v>105</v>
      </c>
      <c r="G11" s="2" t="s">
        <v>29</v>
      </c>
      <c r="H11" s="2" t="s">
        <v>30</v>
      </c>
      <c r="I11" s="2" t="s">
        <v>31</v>
      </c>
      <c r="J11" s="2" t="s">
        <v>100</v>
      </c>
      <c r="K11" s="2" t="s">
        <v>39</v>
      </c>
      <c r="L11" s="2" t="s">
        <v>34</v>
      </c>
      <c r="M11" s="2" t="s">
        <v>49</v>
      </c>
      <c r="N11" s="2" t="s">
        <v>50</v>
      </c>
      <c r="O11" s="2" t="s">
        <v>80</v>
      </c>
      <c r="P11" s="2" t="s">
        <v>38</v>
      </c>
      <c r="Q11" s="2" t="s">
        <v>39</v>
      </c>
      <c r="R11" s="2" t="s">
        <v>75</v>
      </c>
      <c r="S11" s="2" t="s">
        <v>33</v>
      </c>
      <c r="T11" s="2" t="s">
        <v>33</v>
      </c>
      <c r="U11" s="2" t="s">
        <v>53</v>
      </c>
      <c r="V11" s="2" t="s">
        <v>42</v>
      </c>
      <c r="W11" s="2" t="n">
        <v>0</v>
      </c>
      <c r="X11" s="2" t="n">
        <v>1</v>
      </c>
      <c r="Y11" s="2" t="s">
        <v>33</v>
      </c>
    </row>
    <row r="12" customFormat="false" ht="22.35" hidden="false" customHeight="false" outlineLevel="0" collapsed="false">
      <c r="A12" s="2" t="n">
        <v>19</v>
      </c>
      <c r="B12" s="2" t="s">
        <v>106</v>
      </c>
      <c r="C12" s="2" t="s">
        <v>107</v>
      </c>
      <c r="D12" s="2" t="n">
        <v>2025</v>
      </c>
      <c r="E12" s="2" t="s">
        <v>108</v>
      </c>
      <c r="F12" s="2" t="s">
        <v>105</v>
      </c>
      <c r="G12" s="2" t="s">
        <v>109</v>
      </c>
      <c r="H12" s="2" t="s">
        <v>30</v>
      </c>
      <c r="I12" s="2" t="s">
        <v>31</v>
      </c>
      <c r="J12" s="2" t="s">
        <v>79</v>
      </c>
      <c r="K12" s="2" t="s">
        <v>39</v>
      </c>
      <c r="L12" s="2" t="s">
        <v>110</v>
      </c>
      <c r="M12" s="2" t="s">
        <v>49</v>
      </c>
      <c r="N12" s="2" t="s">
        <v>50</v>
      </c>
      <c r="O12" s="2" t="s">
        <v>111</v>
      </c>
      <c r="P12" s="2" t="s">
        <v>66</v>
      </c>
      <c r="Q12" s="2" t="s">
        <v>39</v>
      </c>
      <c r="R12" s="2" t="s">
        <v>52</v>
      </c>
      <c r="S12" s="2" t="s">
        <v>33</v>
      </c>
      <c r="T12" s="2" t="s">
        <v>33</v>
      </c>
      <c r="U12" s="2" t="s">
        <v>41</v>
      </c>
      <c r="V12" s="2" t="s">
        <v>68</v>
      </c>
      <c r="W12" s="2" t="n">
        <v>1</v>
      </c>
      <c r="X12" s="2" t="n">
        <v>1</v>
      </c>
      <c r="Y12" s="2" t="s">
        <v>33</v>
      </c>
    </row>
    <row r="13" customFormat="false" ht="22.35" hidden="false" customHeight="false" outlineLevel="0" collapsed="false">
      <c r="A13" s="2" t="n">
        <v>20</v>
      </c>
      <c r="B13" s="2" t="s">
        <v>112</v>
      </c>
      <c r="C13" s="2" t="s">
        <v>113</v>
      </c>
      <c r="D13" s="2" t="n">
        <v>2024</v>
      </c>
      <c r="E13" s="2" t="s">
        <v>114</v>
      </c>
      <c r="F13" s="2" t="s">
        <v>115</v>
      </c>
      <c r="G13" s="2" t="s">
        <v>99</v>
      </c>
      <c r="H13" s="2" t="s">
        <v>116</v>
      </c>
      <c r="I13" s="2" t="s">
        <v>61</v>
      </c>
      <c r="J13" s="2" t="s">
        <v>32</v>
      </c>
      <c r="K13" s="2" t="s">
        <v>39</v>
      </c>
      <c r="L13" s="2" t="s">
        <v>117</v>
      </c>
      <c r="M13" s="2" t="s">
        <v>49</v>
      </c>
      <c r="N13" s="2" t="s">
        <v>118</v>
      </c>
      <c r="O13" s="2" t="s">
        <v>119</v>
      </c>
      <c r="P13" s="2" t="s">
        <v>38</v>
      </c>
      <c r="Q13" s="2" t="s">
        <v>33</v>
      </c>
      <c r="R13" s="2" t="s">
        <v>53</v>
      </c>
      <c r="S13" s="2" t="s">
        <v>33</v>
      </c>
      <c r="T13" s="2" t="s">
        <v>33</v>
      </c>
      <c r="U13" s="2" t="s">
        <v>41</v>
      </c>
      <c r="V13" s="2" t="s">
        <v>42</v>
      </c>
      <c r="W13" s="2" t="n">
        <v>0</v>
      </c>
      <c r="X13" s="2" t="n">
        <v>3</v>
      </c>
      <c r="Y13" s="2" t="s">
        <v>33</v>
      </c>
    </row>
    <row r="14" customFormat="false" ht="22.35" hidden="false" customHeight="false" outlineLevel="0" collapsed="false">
      <c r="A14" s="2" t="n">
        <v>21</v>
      </c>
      <c r="B14" s="2" t="s">
        <v>120</v>
      </c>
      <c r="C14" s="2" t="s">
        <v>121</v>
      </c>
      <c r="D14" s="2" t="n">
        <v>2025</v>
      </c>
      <c r="E14" s="2" t="s">
        <v>122</v>
      </c>
      <c r="F14" s="2" t="s">
        <v>115</v>
      </c>
      <c r="G14" s="2" t="s">
        <v>99</v>
      </c>
      <c r="H14" s="2" t="s">
        <v>73</v>
      </c>
      <c r="I14" s="2" t="s">
        <v>73</v>
      </c>
      <c r="J14" s="2" t="s">
        <v>123</v>
      </c>
      <c r="K14" s="2" t="s">
        <v>33</v>
      </c>
      <c r="L14" s="2" t="s">
        <v>34</v>
      </c>
      <c r="M14" s="2" t="s">
        <v>49</v>
      </c>
      <c r="N14" s="2" t="s">
        <v>50</v>
      </c>
      <c r="O14" s="2" t="s">
        <v>124</v>
      </c>
      <c r="P14" s="2" t="s">
        <v>38</v>
      </c>
      <c r="Q14" s="2" t="s">
        <v>39</v>
      </c>
      <c r="R14" s="2" t="s">
        <v>81</v>
      </c>
      <c r="S14" s="2" t="s">
        <v>39</v>
      </c>
      <c r="T14" s="2" t="s">
        <v>33</v>
      </c>
      <c r="U14" s="2" t="s">
        <v>53</v>
      </c>
      <c r="V14" s="2" t="s">
        <v>42</v>
      </c>
      <c r="W14" s="2" t="n">
        <v>0</v>
      </c>
      <c r="X14" s="2" t="n">
        <v>1</v>
      </c>
      <c r="Y14" s="2" t="s">
        <v>33</v>
      </c>
    </row>
    <row r="15" customFormat="false" ht="22.35" hidden="false" customHeight="false" outlineLevel="0" collapsed="false">
      <c r="A15" s="2" t="n">
        <v>22</v>
      </c>
      <c r="B15" s="2" t="s">
        <v>125</v>
      </c>
      <c r="C15" s="2" t="s">
        <v>126</v>
      </c>
      <c r="D15" s="2" t="n">
        <v>2026</v>
      </c>
      <c r="E15" s="2" t="s">
        <v>127</v>
      </c>
      <c r="F15" s="2" t="s">
        <v>115</v>
      </c>
      <c r="G15" s="2" t="s">
        <v>128</v>
      </c>
      <c r="H15" s="2" t="s">
        <v>30</v>
      </c>
      <c r="I15" s="2" t="s">
        <v>31</v>
      </c>
      <c r="J15" s="2" t="s">
        <v>100</v>
      </c>
      <c r="K15" s="2" t="s">
        <v>39</v>
      </c>
      <c r="L15" s="2" t="s">
        <v>34</v>
      </c>
      <c r="M15" s="2" t="s">
        <v>49</v>
      </c>
      <c r="N15" s="2" t="s">
        <v>50</v>
      </c>
      <c r="O15" s="2" t="s">
        <v>129</v>
      </c>
      <c r="P15" s="2" t="s">
        <v>38</v>
      </c>
      <c r="Q15" s="2" t="s">
        <v>39</v>
      </c>
      <c r="R15" s="2" t="s">
        <v>40</v>
      </c>
      <c r="S15" s="2" t="s">
        <v>33</v>
      </c>
      <c r="T15" s="2" t="s">
        <v>33</v>
      </c>
      <c r="U15" s="2" t="s">
        <v>41</v>
      </c>
      <c r="V15" s="2" t="s">
        <v>42</v>
      </c>
      <c r="W15" s="2" t="n">
        <v>0</v>
      </c>
      <c r="X15" s="2" t="n">
        <v>2</v>
      </c>
      <c r="Y15" s="2" t="s">
        <v>33</v>
      </c>
    </row>
    <row r="16" customFormat="false" ht="22.35" hidden="false" customHeight="false" outlineLevel="0" collapsed="false">
      <c r="A16" s="2" t="n">
        <v>23</v>
      </c>
      <c r="B16" s="2" t="s">
        <v>130</v>
      </c>
      <c r="C16" s="2" t="s">
        <v>131</v>
      </c>
      <c r="D16" s="2" t="n">
        <v>2024</v>
      </c>
      <c r="E16" s="2" t="s">
        <v>132</v>
      </c>
      <c r="F16" s="2" t="s">
        <v>133</v>
      </c>
      <c r="G16" s="2" t="s">
        <v>134</v>
      </c>
      <c r="H16" s="2" t="s">
        <v>30</v>
      </c>
      <c r="I16" s="2" t="s">
        <v>31</v>
      </c>
      <c r="J16" s="2" t="s">
        <v>100</v>
      </c>
      <c r="K16" s="2" t="s">
        <v>39</v>
      </c>
      <c r="L16" s="2" t="s">
        <v>34</v>
      </c>
      <c r="M16" s="2" t="s">
        <v>49</v>
      </c>
      <c r="N16" s="2" t="s">
        <v>50</v>
      </c>
      <c r="O16" s="2" t="s">
        <v>80</v>
      </c>
      <c r="P16" s="2" t="s">
        <v>66</v>
      </c>
      <c r="Q16" s="2" t="s">
        <v>39</v>
      </c>
      <c r="R16" s="2" t="s">
        <v>40</v>
      </c>
      <c r="S16" s="2" t="s">
        <v>33</v>
      </c>
      <c r="T16" s="2" t="s">
        <v>33</v>
      </c>
      <c r="U16" s="2" t="s">
        <v>41</v>
      </c>
      <c r="V16" s="2" t="s">
        <v>42</v>
      </c>
      <c r="W16" s="2" t="n">
        <v>0</v>
      </c>
      <c r="X16" s="2" t="n">
        <v>1</v>
      </c>
      <c r="Y16" s="2" t="s">
        <v>33</v>
      </c>
    </row>
    <row r="17" customFormat="false" ht="22.35" hidden="false" customHeight="false" outlineLevel="0" collapsed="false">
      <c r="A17" s="2" t="n">
        <v>24</v>
      </c>
      <c r="B17" s="2" t="s">
        <v>135</v>
      </c>
      <c r="C17" s="2" t="s">
        <v>136</v>
      </c>
      <c r="D17" s="2" t="n">
        <v>2026</v>
      </c>
      <c r="E17" s="2" t="s">
        <v>137</v>
      </c>
      <c r="F17" s="2" t="s">
        <v>138</v>
      </c>
      <c r="G17" s="2" t="s">
        <v>47</v>
      </c>
      <c r="H17" s="2" t="s">
        <v>73</v>
      </c>
      <c r="I17" s="2" t="s">
        <v>73</v>
      </c>
      <c r="J17" s="2" t="s">
        <v>32</v>
      </c>
      <c r="K17" s="2" t="s">
        <v>33</v>
      </c>
      <c r="L17" s="2" t="s">
        <v>139</v>
      </c>
      <c r="M17" s="2" t="s">
        <v>49</v>
      </c>
      <c r="N17" s="2" t="s">
        <v>50</v>
      </c>
      <c r="O17" s="2" t="s">
        <v>129</v>
      </c>
      <c r="P17" s="2" t="s">
        <v>38</v>
      </c>
      <c r="Q17" s="2" t="s">
        <v>39</v>
      </c>
      <c r="R17" s="2" t="s">
        <v>52</v>
      </c>
      <c r="S17" s="2" t="s">
        <v>33</v>
      </c>
      <c r="T17" s="2" t="s">
        <v>33</v>
      </c>
      <c r="U17" s="2" t="s">
        <v>53</v>
      </c>
      <c r="V17" s="2" t="s">
        <v>68</v>
      </c>
      <c r="W17" s="2" t="n">
        <v>0</v>
      </c>
      <c r="X17" s="2" t="n">
        <v>2</v>
      </c>
      <c r="Y17" s="2" t="s">
        <v>33</v>
      </c>
    </row>
    <row r="18" customFormat="false" ht="22.35" hidden="false" customHeight="false" outlineLevel="0" collapsed="false">
      <c r="A18" s="2" t="n">
        <v>25</v>
      </c>
      <c r="B18" s="2" t="s">
        <v>140</v>
      </c>
      <c r="C18" s="2" t="s">
        <v>141</v>
      </c>
      <c r="D18" s="2" t="n">
        <v>2025</v>
      </c>
      <c r="E18" s="2" t="s">
        <v>142</v>
      </c>
      <c r="F18" s="2" t="s">
        <v>143</v>
      </c>
      <c r="G18" s="2" t="s">
        <v>29</v>
      </c>
      <c r="H18" s="2" t="s">
        <v>30</v>
      </c>
      <c r="I18" s="2" t="s">
        <v>31</v>
      </c>
      <c r="J18" s="2" t="s">
        <v>48</v>
      </c>
      <c r="K18" s="2" t="s">
        <v>33</v>
      </c>
      <c r="L18" s="2" t="s">
        <v>34</v>
      </c>
      <c r="M18" s="2" t="s">
        <v>49</v>
      </c>
      <c r="N18" s="2" t="s">
        <v>118</v>
      </c>
      <c r="O18" s="2" t="s">
        <v>118</v>
      </c>
      <c r="P18" s="2" t="s">
        <v>38</v>
      </c>
      <c r="Q18" s="2" t="s">
        <v>39</v>
      </c>
      <c r="R18" s="2" t="s">
        <v>52</v>
      </c>
      <c r="S18" s="2" t="s">
        <v>33</v>
      </c>
      <c r="T18" s="2" t="s">
        <v>33</v>
      </c>
      <c r="U18" s="2" t="s">
        <v>53</v>
      </c>
      <c r="V18" s="2" t="s">
        <v>54</v>
      </c>
      <c r="W18" s="2" t="n">
        <v>0</v>
      </c>
      <c r="X18" s="2" t="n">
        <v>0</v>
      </c>
      <c r="Y18" s="2" t="s">
        <v>33</v>
      </c>
    </row>
    <row r="19" customFormat="false" ht="22.35" hidden="false" customHeight="false" outlineLevel="0" collapsed="false">
      <c r="A19" s="2" t="n">
        <v>26</v>
      </c>
      <c r="B19" s="2" t="s">
        <v>144</v>
      </c>
      <c r="C19" s="2" t="s">
        <v>145</v>
      </c>
      <c r="D19" s="2" t="n">
        <v>2024</v>
      </c>
      <c r="E19" s="2" t="s">
        <v>146</v>
      </c>
      <c r="F19" s="2" t="s">
        <v>147</v>
      </c>
      <c r="G19" s="2" t="s">
        <v>99</v>
      </c>
      <c r="H19" s="2" t="s">
        <v>30</v>
      </c>
      <c r="I19" s="2" t="s">
        <v>31</v>
      </c>
      <c r="J19" s="2" t="s">
        <v>100</v>
      </c>
      <c r="K19" s="2" t="s">
        <v>39</v>
      </c>
      <c r="L19" s="2" t="s">
        <v>63</v>
      </c>
      <c r="M19" s="2" t="s">
        <v>35</v>
      </c>
      <c r="N19" s="2" t="s">
        <v>148</v>
      </c>
      <c r="O19" s="2" t="s">
        <v>51</v>
      </c>
      <c r="P19" s="2" t="s">
        <v>38</v>
      </c>
      <c r="Q19" s="2" t="s">
        <v>33</v>
      </c>
      <c r="R19" s="2" t="s">
        <v>53</v>
      </c>
      <c r="S19" s="2" t="s">
        <v>33</v>
      </c>
      <c r="T19" s="2" t="s">
        <v>33</v>
      </c>
      <c r="U19" s="2" t="s">
        <v>53</v>
      </c>
      <c r="V19" s="2" t="s">
        <v>42</v>
      </c>
      <c r="W19" s="2" t="n">
        <v>0</v>
      </c>
      <c r="X19" s="2" t="n">
        <v>1</v>
      </c>
      <c r="Y19" s="2" t="s">
        <v>33</v>
      </c>
    </row>
    <row r="20" customFormat="false" ht="22.35" hidden="false" customHeight="false" outlineLevel="0" collapsed="false">
      <c r="A20" s="2" t="n">
        <v>27</v>
      </c>
      <c r="B20" s="2" t="s">
        <v>149</v>
      </c>
      <c r="C20" s="2" t="s">
        <v>150</v>
      </c>
      <c r="D20" s="2" t="n">
        <v>2023</v>
      </c>
      <c r="E20" s="2" t="s">
        <v>151</v>
      </c>
      <c r="F20" s="2" t="s">
        <v>152</v>
      </c>
      <c r="G20" s="2" t="s">
        <v>29</v>
      </c>
      <c r="H20" s="2" t="s">
        <v>153</v>
      </c>
      <c r="I20" s="2" t="s">
        <v>154</v>
      </c>
      <c r="J20" s="2" t="s">
        <v>100</v>
      </c>
      <c r="K20" s="2" t="s">
        <v>39</v>
      </c>
      <c r="L20" s="2" t="s">
        <v>117</v>
      </c>
      <c r="M20" s="2" t="s">
        <v>49</v>
      </c>
      <c r="N20" s="2" t="s">
        <v>50</v>
      </c>
      <c r="O20" s="2" t="s">
        <v>118</v>
      </c>
      <c r="P20" s="2" t="s">
        <v>38</v>
      </c>
      <c r="Q20" s="2" t="s">
        <v>39</v>
      </c>
      <c r="R20" s="2" t="s">
        <v>52</v>
      </c>
      <c r="S20" s="2" t="s">
        <v>33</v>
      </c>
      <c r="T20" s="2" t="s">
        <v>33</v>
      </c>
      <c r="U20" s="2" t="s">
        <v>53</v>
      </c>
      <c r="V20" s="2" t="s">
        <v>42</v>
      </c>
      <c r="W20" s="2" t="n">
        <v>0</v>
      </c>
      <c r="X20" s="2" t="n">
        <v>0</v>
      </c>
      <c r="Y20" s="2" t="s">
        <v>33</v>
      </c>
    </row>
    <row r="21" customFormat="false" ht="22.35" hidden="false" customHeight="false" outlineLevel="0" collapsed="false">
      <c r="A21" s="2" t="n">
        <v>28</v>
      </c>
      <c r="B21" s="2" t="s">
        <v>155</v>
      </c>
      <c r="C21" s="2" t="s">
        <v>156</v>
      </c>
      <c r="D21" s="2" t="n">
        <v>2024</v>
      </c>
      <c r="E21" s="2" t="s">
        <v>157</v>
      </c>
      <c r="F21" s="2" t="s">
        <v>158</v>
      </c>
      <c r="G21" s="2" t="s">
        <v>29</v>
      </c>
      <c r="H21" s="2" t="s">
        <v>30</v>
      </c>
      <c r="I21" s="2" t="s">
        <v>31</v>
      </c>
      <c r="J21" s="2" t="s">
        <v>159</v>
      </c>
      <c r="K21" s="2" t="s">
        <v>33</v>
      </c>
      <c r="L21" s="2" t="s">
        <v>63</v>
      </c>
      <c r="M21" s="2" t="s">
        <v>49</v>
      </c>
      <c r="N21" s="2" t="s">
        <v>50</v>
      </c>
      <c r="O21" s="2" t="s">
        <v>160</v>
      </c>
      <c r="P21" s="2" t="s">
        <v>38</v>
      </c>
      <c r="Q21" s="2" t="s">
        <v>39</v>
      </c>
      <c r="R21" s="2" t="s">
        <v>40</v>
      </c>
      <c r="S21" s="2" t="s">
        <v>33</v>
      </c>
      <c r="T21" s="2" t="s">
        <v>39</v>
      </c>
      <c r="U21" s="2" t="s">
        <v>41</v>
      </c>
      <c r="V21" s="2" t="s">
        <v>42</v>
      </c>
      <c r="W21" s="2" t="n">
        <v>1</v>
      </c>
      <c r="X21" s="2" t="n">
        <v>3</v>
      </c>
      <c r="Y21" s="2" t="s">
        <v>33</v>
      </c>
    </row>
    <row r="22" customFormat="false" ht="22.35" hidden="false" customHeight="false" outlineLevel="0" collapsed="false">
      <c r="A22" s="2" t="n">
        <v>29</v>
      </c>
      <c r="B22" s="2" t="s">
        <v>161</v>
      </c>
      <c r="C22" s="2" t="s">
        <v>44</v>
      </c>
      <c r="D22" s="2" t="n">
        <v>2022</v>
      </c>
      <c r="E22" s="2" t="s">
        <v>162</v>
      </c>
      <c r="F22" s="2" t="s">
        <v>163</v>
      </c>
      <c r="G22" s="2" t="s">
        <v>72</v>
      </c>
      <c r="H22" s="2" t="s">
        <v>30</v>
      </c>
      <c r="I22" s="2" t="s">
        <v>31</v>
      </c>
      <c r="J22" s="2" t="s">
        <v>100</v>
      </c>
      <c r="K22" s="2" t="s">
        <v>39</v>
      </c>
      <c r="L22" s="2" t="s">
        <v>63</v>
      </c>
      <c r="M22" s="2" t="s">
        <v>49</v>
      </c>
      <c r="N22" s="2" t="s">
        <v>50</v>
      </c>
      <c r="O22" s="2" t="s">
        <v>164</v>
      </c>
      <c r="P22" s="2" t="s">
        <v>66</v>
      </c>
      <c r="Q22" s="2" t="s">
        <v>39</v>
      </c>
      <c r="R22" s="2" t="s">
        <v>40</v>
      </c>
      <c r="S22" s="2" t="s">
        <v>33</v>
      </c>
      <c r="T22" s="2" t="s">
        <v>33</v>
      </c>
      <c r="U22" s="2" t="s">
        <v>53</v>
      </c>
      <c r="V22" s="2" t="s">
        <v>68</v>
      </c>
      <c r="W22" s="2" t="n">
        <v>0</v>
      </c>
      <c r="X22" s="2" t="n">
        <v>1</v>
      </c>
      <c r="Y22" s="2" t="s">
        <v>33</v>
      </c>
    </row>
    <row r="23" customFormat="false" ht="22.35" hidden="false" customHeight="false" outlineLevel="0" collapsed="false">
      <c r="A23" s="2" t="n">
        <v>30</v>
      </c>
      <c r="B23" s="2" t="s">
        <v>165</v>
      </c>
      <c r="C23" s="2" t="s">
        <v>166</v>
      </c>
      <c r="D23" s="2" t="n">
        <v>2023</v>
      </c>
      <c r="E23" s="2" t="s">
        <v>167</v>
      </c>
      <c r="F23" s="2" t="s">
        <v>168</v>
      </c>
      <c r="G23" s="2" t="s">
        <v>29</v>
      </c>
      <c r="H23" s="2" t="s">
        <v>153</v>
      </c>
      <c r="I23" s="2" t="s">
        <v>154</v>
      </c>
      <c r="J23" s="2" t="s">
        <v>100</v>
      </c>
      <c r="K23" s="2" t="s">
        <v>39</v>
      </c>
      <c r="L23" s="2" t="s">
        <v>117</v>
      </c>
      <c r="M23" s="2" t="s">
        <v>49</v>
      </c>
      <c r="N23" s="2" t="s">
        <v>50</v>
      </c>
      <c r="O23" s="2" t="s">
        <v>169</v>
      </c>
      <c r="P23" s="2" t="s">
        <v>94</v>
      </c>
      <c r="Q23" s="2" t="s">
        <v>39</v>
      </c>
      <c r="R23" s="2" t="s">
        <v>52</v>
      </c>
      <c r="S23" s="2" t="s">
        <v>33</v>
      </c>
      <c r="T23" s="2" t="s">
        <v>33</v>
      </c>
      <c r="U23" s="2" t="s">
        <v>53</v>
      </c>
      <c r="V23" s="2" t="s">
        <v>42</v>
      </c>
      <c r="W23" s="2" t="n">
        <v>0</v>
      </c>
      <c r="X23" s="2" t="n">
        <v>1</v>
      </c>
      <c r="Y23" s="2" t="s">
        <v>33</v>
      </c>
    </row>
    <row r="24" customFormat="false" ht="22.35" hidden="false" customHeight="false" outlineLevel="0" collapsed="false">
      <c r="A24" s="2" t="n">
        <v>31</v>
      </c>
      <c r="B24" s="2" t="s">
        <v>170</v>
      </c>
      <c r="C24" s="2" t="s">
        <v>107</v>
      </c>
      <c r="D24" s="2" t="n">
        <v>2025</v>
      </c>
      <c r="E24" s="2" t="s">
        <v>171</v>
      </c>
      <c r="F24" s="2" t="s">
        <v>172</v>
      </c>
      <c r="G24" s="2" t="s">
        <v>173</v>
      </c>
      <c r="H24" s="2" t="s">
        <v>30</v>
      </c>
      <c r="I24" s="2" t="s">
        <v>31</v>
      </c>
      <c r="J24" s="2" t="s">
        <v>79</v>
      </c>
      <c r="K24" s="2" t="s">
        <v>39</v>
      </c>
      <c r="L24" s="2" t="s">
        <v>110</v>
      </c>
      <c r="M24" s="2" t="s">
        <v>49</v>
      </c>
      <c r="N24" s="2" t="s">
        <v>50</v>
      </c>
      <c r="O24" s="2" t="s">
        <v>174</v>
      </c>
      <c r="P24" s="2" t="s">
        <v>38</v>
      </c>
      <c r="Q24" s="2" t="s">
        <v>39</v>
      </c>
      <c r="R24" s="2" t="s">
        <v>75</v>
      </c>
      <c r="S24" s="2" t="s">
        <v>33</v>
      </c>
      <c r="T24" s="2" t="s">
        <v>33</v>
      </c>
      <c r="U24" s="2" t="s">
        <v>41</v>
      </c>
      <c r="V24" s="2" t="s">
        <v>42</v>
      </c>
      <c r="W24" s="2" t="n">
        <v>0</v>
      </c>
      <c r="X24" s="2" t="n">
        <v>1</v>
      </c>
      <c r="Y24" s="2" t="s">
        <v>33</v>
      </c>
    </row>
    <row r="25" customFormat="false" ht="22.35" hidden="false" customHeight="false" outlineLevel="0" collapsed="false">
      <c r="A25" s="2" t="n">
        <v>32</v>
      </c>
      <c r="B25" s="2" t="s">
        <v>175</v>
      </c>
      <c r="C25" s="2" t="s">
        <v>176</v>
      </c>
      <c r="D25" s="2" t="n">
        <v>2024</v>
      </c>
      <c r="E25" s="2" t="s">
        <v>177</v>
      </c>
      <c r="F25" s="2" t="s">
        <v>178</v>
      </c>
      <c r="G25" s="2" t="s">
        <v>29</v>
      </c>
      <c r="H25" s="2" t="s">
        <v>30</v>
      </c>
      <c r="I25" s="2" t="s">
        <v>31</v>
      </c>
      <c r="J25" s="2" t="s">
        <v>79</v>
      </c>
      <c r="K25" s="2" t="s">
        <v>39</v>
      </c>
      <c r="L25" s="2" t="s">
        <v>110</v>
      </c>
      <c r="M25" s="2" t="s">
        <v>35</v>
      </c>
      <c r="N25" s="2" t="s">
        <v>179</v>
      </c>
      <c r="O25" s="2" t="s">
        <v>180</v>
      </c>
      <c r="P25" s="2" t="s">
        <v>66</v>
      </c>
      <c r="Q25" s="2" t="s">
        <v>39</v>
      </c>
      <c r="R25" s="2" t="s">
        <v>40</v>
      </c>
      <c r="S25" s="2" t="s">
        <v>33</v>
      </c>
      <c r="T25" s="2" t="s">
        <v>33</v>
      </c>
      <c r="U25" s="2" t="s">
        <v>53</v>
      </c>
      <c r="V25" s="2" t="s">
        <v>42</v>
      </c>
      <c r="W25" s="2" t="n">
        <v>0</v>
      </c>
      <c r="X25" s="2" t="n">
        <v>2</v>
      </c>
      <c r="Y25" s="2" t="s">
        <v>33</v>
      </c>
    </row>
    <row r="26" customFormat="false" ht="22.35" hidden="false" customHeight="false" outlineLevel="0" collapsed="false">
      <c r="A26" s="2" t="n">
        <v>33</v>
      </c>
      <c r="B26" s="2" t="s">
        <v>181</v>
      </c>
      <c r="C26" s="2" t="s">
        <v>182</v>
      </c>
      <c r="D26" s="2" t="n">
        <v>2024</v>
      </c>
      <c r="E26" s="2" t="s">
        <v>183</v>
      </c>
      <c r="F26" s="2" t="s">
        <v>178</v>
      </c>
      <c r="G26" s="2" t="s">
        <v>184</v>
      </c>
      <c r="H26" s="2" t="s">
        <v>30</v>
      </c>
      <c r="I26" s="2" t="s">
        <v>31</v>
      </c>
      <c r="J26" s="2" t="s">
        <v>32</v>
      </c>
      <c r="K26" s="2" t="s">
        <v>33</v>
      </c>
      <c r="L26" s="2" t="s">
        <v>34</v>
      </c>
      <c r="M26" s="2" t="s">
        <v>49</v>
      </c>
      <c r="N26" s="2" t="s">
        <v>50</v>
      </c>
      <c r="O26" s="2" t="s">
        <v>185</v>
      </c>
      <c r="P26" s="2" t="s">
        <v>66</v>
      </c>
      <c r="Q26" s="2" t="s">
        <v>39</v>
      </c>
      <c r="R26" s="2" t="s">
        <v>81</v>
      </c>
      <c r="S26" s="2" t="s">
        <v>39</v>
      </c>
      <c r="T26" s="2" t="s">
        <v>33</v>
      </c>
      <c r="U26" s="2" t="s">
        <v>53</v>
      </c>
      <c r="V26" s="2" t="s">
        <v>68</v>
      </c>
      <c r="W26" s="2" t="n">
        <v>0</v>
      </c>
      <c r="X26" s="2" t="n">
        <v>1</v>
      </c>
      <c r="Y26" s="2" t="s">
        <v>39</v>
      </c>
    </row>
    <row r="27" customFormat="false" ht="22.35" hidden="false" customHeight="false" outlineLevel="0" collapsed="false">
      <c r="A27" s="2" t="n">
        <v>34</v>
      </c>
      <c r="B27" s="2" t="s">
        <v>186</v>
      </c>
      <c r="C27" s="2" t="s">
        <v>187</v>
      </c>
      <c r="D27" s="2" t="n">
        <v>2025</v>
      </c>
      <c r="E27" s="2" t="s">
        <v>188</v>
      </c>
      <c r="F27" s="2" t="s">
        <v>178</v>
      </c>
      <c r="G27" s="2" t="s">
        <v>189</v>
      </c>
      <c r="H27" s="2" t="s">
        <v>30</v>
      </c>
      <c r="I27" s="2" t="s">
        <v>31</v>
      </c>
      <c r="J27" s="2" t="s">
        <v>123</v>
      </c>
      <c r="K27" s="2" t="s">
        <v>33</v>
      </c>
      <c r="L27" s="2" t="s">
        <v>34</v>
      </c>
      <c r="M27" s="2" t="s">
        <v>49</v>
      </c>
      <c r="N27" s="2" t="s">
        <v>50</v>
      </c>
      <c r="O27" s="2" t="s">
        <v>190</v>
      </c>
      <c r="P27" s="2" t="s">
        <v>38</v>
      </c>
      <c r="Q27" s="2" t="s">
        <v>39</v>
      </c>
      <c r="R27" s="2" t="s">
        <v>81</v>
      </c>
      <c r="S27" s="2" t="s">
        <v>39</v>
      </c>
      <c r="T27" s="2" t="s">
        <v>33</v>
      </c>
      <c r="U27" s="2" t="s">
        <v>41</v>
      </c>
      <c r="V27" s="2" t="s">
        <v>42</v>
      </c>
      <c r="W27" s="2" t="n">
        <v>0</v>
      </c>
      <c r="X27" s="2" t="n">
        <v>2</v>
      </c>
      <c r="Y27" s="2" t="s">
        <v>33</v>
      </c>
    </row>
    <row r="28" customFormat="false" ht="15" hidden="false" customHeight="false" outlineLevel="0" collapsed="false">
      <c r="A28" s="2" t="n">
        <v>35</v>
      </c>
      <c r="B28" s="2" t="s">
        <v>191</v>
      </c>
      <c r="C28" s="2" t="s">
        <v>192</v>
      </c>
      <c r="D28" s="2" t="n">
        <v>2025</v>
      </c>
      <c r="E28" s="2" t="s">
        <v>193</v>
      </c>
      <c r="F28" s="2" t="s">
        <v>178</v>
      </c>
      <c r="G28" s="2" t="s">
        <v>194</v>
      </c>
      <c r="H28" s="2" t="s">
        <v>30</v>
      </c>
      <c r="I28" s="2" t="s">
        <v>31</v>
      </c>
      <c r="J28" s="2" t="s">
        <v>123</v>
      </c>
      <c r="K28" s="2" t="s">
        <v>33</v>
      </c>
      <c r="L28" s="2" t="s">
        <v>34</v>
      </c>
      <c r="M28" s="2" t="s">
        <v>49</v>
      </c>
      <c r="N28" s="2" t="s">
        <v>50</v>
      </c>
      <c r="O28" s="2" t="s">
        <v>195</v>
      </c>
      <c r="P28" s="2" t="s">
        <v>38</v>
      </c>
      <c r="Q28" s="2" t="s">
        <v>39</v>
      </c>
      <c r="R28" s="2" t="s">
        <v>40</v>
      </c>
      <c r="S28" s="2" t="s">
        <v>33</v>
      </c>
      <c r="T28" s="2" t="s">
        <v>33</v>
      </c>
      <c r="U28" s="2" t="s">
        <v>41</v>
      </c>
      <c r="V28" s="2" t="s">
        <v>42</v>
      </c>
      <c r="W28" s="2" t="n">
        <v>0</v>
      </c>
      <c r="X28" s="2" t="n">
        <v>2</v>
      </c>
      <c r="Y28" s="2" t="s">
        <v>33</v>
      </c>
    </row>
    <row r="29" customFormat="false" ht="22.35" hidden="false" customHeight="false" outlineLevel="0" collapsed="false">
      <c r="A29" s="2" t="n">
        <v>36</v>
      </c>
      <c r="B29" s="2" t="s">
        <v>196</v>
      </c>
      <c r="C29" s="2" t="s">
        <v>197</v>
      </c>
      <c r="D29" s="2" t="n">
        <v>2026</v>
      </c>
      <c r="E29" s="2" t="s">
        <v>198</v>
      </c>
      <c r="F29" s="2" t="s">
        <v>178</v>
      </c>
      <c r="G29" s="2" t="s">
        <v>199</v>
      </c>
      <c r="H29" s="2" t="s">
        <v>30</v>
      </c>
      <c r="I29" s="2" t="s">
        <v>31</v>
      </c>
      <c r="J29" s="2" t="s">
        <v>200</v>
      </c>
      <c r="K29" s="2" t="s">
        <v>33</v>
      </c>
      <c r="L29" s="2" t="s">
        <v>34</v>
      </c>
      <c r="M29" s="2" t="s">
        <v>49</v>
      </c>
      <c r="N29" s="2" t="s">
        <v>50</v>
      </c>
      <c r="O29" s="2" t="s">
        <v>201</v>
      </c>
      <c r="P29" s="2" t="s">
        <v>202</v>
      </c>
      <c r="Q29" s="2" t="s">
        <v>39</v>
      </c>
      <c r="R29" s="2" t="s">
        <v>52</v>
      </c>
      <c r="S29" s="2" t="s">
        <v>33</v>
      </c>
      <c r="T29" s="2" t="s">
        <v>33</v>
      </c>
      <c r="U29" s="2" t="s">
        <v>53</v>
      </c>
      <c r="V29" s="2" t="s">
        <v>54</v>
      </c>
      <c r="W29" s="2" t="n">
        <v>0</v>
      </c>
      <c r="X29" s="2" t="n">
        <v>3</v>
      </c>
      <c r="Y29" s="2" t="s">
        <v>33</v>
      </c>
    </row>
    <row r="30" customFormat="false" ht="22.35" hidden="false" customHeight="false" outlineLevel="0" collapsed="false">
      <c r="A30" s="2" t="n">
        <v>37</v>
      </c>
      <c r="B30" s="2" t="s">
        <v>203</v>
      </c>
      <c r="C30" s="2" t="s">
        <v>204</v>
      </c>
      <c r="D30" s="2" t="n">
        <v>2025</v>
      </c>
      <c r="E30" s="2" t="s">
        <v>205</v>
      </c>
      <c r="F30" s="2" t="s">
        <v>206</v>
      </c>
      <c r="G30" s="2" t="s">
        <v>29</v>
      </c>
      <c r="H30" s="2" t="s">
        <v>207</v>
      </c>
      <c r="I30" s="2" t="s">
        <v>154</v>
      </c>
      <c r="J30" s="2" t="s">
        <v>32</v>
      </c>
      <c r="K30" s="2" t="s">
        <v>33</v>
      </c>
      <c r="L30" s="2" t="s">
        <v>34</v>
      </c>
      <c r="M30" s="2" t="s">
        <v>49</v>
      </c>
      <c r="N30" s="2" t="s">
        <v>50</v>
      </c>
      <c r="O30" s="2" t="s">
        <v>208</v>
      </c>
      <c r="P30" s="2" t="s">
        <v>38</v>
      </c>
      <c r="Q30" s="2" t="s">
        <v>39</v>
      </c>
      <c r="R30" s="2" t="s">
        <v>81</v>
      </c>
      <c r="S30" s="2" t="s">
        <v>39</v>
      </c>
      <c r="T30" s="2" t="s">
        <v>33</v>
      </c>
      <c r="U30" s="2" t="s">
        <v>53</v>
      </c>
      <c r="V30" s="2" t="s">
        <v>54</v>
      </c>
      <c r="W30" s="2" t="n">
        <v>0</v>
      </c>
      <c r="X30" s="2" t="n">
        <v>2</v>
      </c>
      <c r="Y30" s="2" t="s">
        <v>33</v>
      </c>
    </row>
    <row r="31" customFormat="false" ht="22.35" hidden="false" customHeight="false" outlineLevel="0" collapsed="false">
      <c r="A31" s="2" t="n">
        <v>38</v>
      </c>
      <c r="B31" s="2" t="s">
        <v>209</v>
      </c>
      <c r="C31" s="2" t="s">
        <v>131</v>
      </c>
      <c r="D31" s="2" t="n">
        <v>2026</v>
      </c>
      <c r="E31" s="2" t="s">
        <v>210</v>
      </c>
      <c r="F31" s="2" t="s">
        <v>211</v>
      </c>
      <c r="G31" s="2" t="s">
        <v>134</v>
      </c>
      <c r="H31" s="2" t="s">
        <v>30</v>
      </c>
      <c r="I31" s="2" t="s">
        <v>31</v>
      </c>
      <c r="J31" s="2" t="s">
        <v>79</v>
      </c>
      <c r="K31" s="2" t="s">
        <v>39</v>
      </c>
      <c r="L31" s="2" t="s">
        <v>34</v>
      </c>
      <c r="M31" s="2" t="s">
        <v>49</v>
      </c>
      <c r="N31" s="2" t="s">
        <v>50</v>
      </c>
      <c r="O31" s="2" t="s">
        <v>212</v>
      </c>
      <c r="P31" s="2" t="s">
        <v>66</v>
      </c>
      <c r="Q31" s="2" t="s">
        <v>39</v>
      </c>
      <c r="R31" s="2" t="s">
        <v>40</v>
      </c>
      <c r="S31" s="2" t="s">
        <v>33</v>
      </c>
      <c r="T31" s="2" t="s">
        <v>33</v>
      </c>
      <c r="U31" s="2" t="s">
        <v>41</v>
      </c>
      <c r="V31" s="2" t="s">
        <v>68</v>
      </c>
      <c r="W31" s="2" t="n">
        <v>0</v>
      </c>
      <c r="X31" s="2" t="n">
        <v>3</v>
      </c>
      <c r="Y31" s="2" t="s">
        <v>33</v>
      </c>
    </row>
    <row r="32" customFormat="false" ht="22.35" hidden="false" customHeight="false" outlineLevel="0" collapsed="false">
      <c r="A32" s="2" t="n">
        <v>39</v>
      </c>
      <c r="B32" s="2" t="s">
        <v>213</v>
      </c>
      <c r="C32" s="2" t="s">
        <v>214</v>
      </c>
      <c r="D32" s="2" t="n">
        <v>2023</v>
      </c>
      <c r="E32" s="2" t="s">
        <v>215</v>
      </c>
      <c r="F32" s="2" t="s">
        <v>216</v>
      </c>
      <c r="G32" s="2" t="s">
        <v>47</v>
      </c>
      <c r="H32" s="2" t="s">
        <v>73</v>
      </c>
      <c r="I32" s="2" t="s">
        <v>73</v>
      </c>
      <c r="J32" s="2" t="s">
        <v>217</v>
      </c>
      <c r="K32" s="2" t="s">
        <v>33</v>
      </c>
      <c r="L32" s="2" t="s">
        <v>117</v>
      </c>
      <c r="M32" s="2" t="s">
        <v>49</v>
      </c>
      <c r="N32" s="2" t="s">
        <v>50</v>
      </c>
      <c r="O32" s="2" t="s">
        <v>118</v>
      </c>
      <c r="P32" s="2" t="s">
        <v>66</v>
      </c>
      <c r="Q32" s="2" t="s">
        <v>39</v>
      </c>
      <c r="R32" s="2" t="s">
        <v>52</v>
      </c>
      <c r="S32" s="2" t="s">
        <v>33</v>
      </c>
      <c r="T32" s="2" t="s">
        <v>33</v>
      </c>
      <c r="U32" s="2" t="s">
        <v>53</v>
      </c>
      <c r="V32" s="2" t="s">
        <v>42</v>
      </c>
      <c r="W32" s="2" t="n">
        <v>0</v>
      </c>
      <c r="X32" s="2" t="n">
        <v>0</v>
      </c>
      <c r="Y32" s="2" t="s">
        <v>33</v>
      </c>
    </row>
    <row r="33" customFormat="false" ht="22.35" hidden="false" customHeight="false" outlineLevel="0" collapsed="false">
      <c r="A33" s="2" t="n">
        <v>40</v>
      </c>
      <c r="B33" s="2" t="s">
        <v>218</v>
      </c>
      <c r="C33" s="2" t="s">
        <v>219</v>
      </c>
      <c r="D33" s="2" t="n">
        <v>2026</v>
      </c>
      <c r="E33" s="2" t="s">
        <v>220</v>
      </c>
      <c r="F33" s="2" t="s">
        <v>216</v>
      </c>
      <c r="G33" s="2" t="s">
        <v>221</v>
      </c>
      <c r="H33" s="2" t="s">
        <v>30</v>
      </c>
      <c r="I33" s="2" t="s">
        <v>31</v>
      </c>
      <c r="J33" s="2" t="s">
        <v>79</v>
      </c>
      <c r="K33" s="2" t="s">
        <v>39</v>
      </c>
      <c r="L33" s="2" t="s">
        <v>34</v>
      </c>
      <c r="M33" s="2" t="s">
        <v>222</v>
      </c>
      <c r="N33" s="2" t="s">
        <v>50</v>
      </c>
      <c r="O33" s="2" t="s">
        <v>223</v>
      </c>
      <c r="P33" s="2" t="s">
        <v>38</v>
      </c>
      <c r="Q33" s="2" t="s">
        <v>39</v>
      </c>
      <c r="R33" s="2" t="s">
        <v>81</v>
      </c>
      <c r="S33" s="2" t="s">
        <v>39</v>
      </c>
      <c r="T33" s="2" t="s">
        <v>33</v>
      </c>
      <c r="U33" s="2" t="s">
        <v>41</v>
      </c>
      <c r="V33" s="2" t="s">
        <v>42</v>
      </c>
      <c r="W33" s="2" t="n">
        <v>0</v>
      </c>
      <c r="X33" s="2" t="n">
        <v>3</v>
      </c>
      <c r="Y33" s="2" t="s">
        <v>33</v>
      </c>
    </row>
    <row r="34" customFormat="false" ht="22.35" hidden="false" customHeight="false" outlineLevel="0" collapsed="false">
      <c r="A34" s="2" t="n">
        <v>41</v>
      </c>
      <c r="B34" s="2" t="s">
        <v>224</v>
      </c>
      <c r="C34" s="2" t="s">
        <v>225</v>
      </c>
      <c r="D34" s="2" t="n">
        <v>2026</v>
      </c>
      <c r="E34" s="2" t="s">
        <v>226</v>
      </c>
      <c r="F34" s="2" t="s">
        <v>227</v>
      </c>
      <c r="G34" s="2" t="s">
        <v>228</v>
      </c>
      <c r="H34" s="2" t="s">
        <v>30</v>
      </c>
      <c r="I34" s="2" t="s">
        <v>31</v>
      </c>
      <c r="J34" s="2" t="s">
        <v>32</v>
      </c>
      <c r="K34" s="2" t="s">
        <v>33</v>
      </c>
      <c r="L34" s="2" t="s">
        <v>34</v>
      </c>
      <c r="M34" s="2" t="s">
        <v>49</v>
      </c>
      <c r="N34" s="2" t="s">
        <v>50</v>
      </c>
      <c r="O34" s="2" t="s">
        <v>229</v>
      </c>
      <c r="P34" s="2" t="s">
        <v>38</v>
      </c>
      <c r="Q34" s="2" t="s">
        <v>39</v>
      </c>
      <c r="R34" s="2" t="s">
        <v>81</v>
      </c>
      <c r="S34" s="2" t="s">
        <v>39</v>
      </c>
      <c r="T34" s="2" t="s">
        <v>33</v>
      </c>
      <c r="U34" s="2" t="s">
        <v>67</v>
      </c>
      <c r="V34" s="2" t="s">
        <v>42</v>
      </c>
      <c r="W34" s="2" t="n">
        <v>0</v>
      </c>
      <c r="X34" s="2" t="n">
        <v>1</v>
      </c>
      <c r="Y34" s="2" t="s">
        <v>33</v>
      </c>
    </row>
    <row r="35" customFormat="false" ht="22.35" hidden="false" customHeight="false" outlineLevel="0" collapsed="false">
      <c r="A35" s="2" t="n">
        <v>42</v>
      </c>
      <c r="B35" s="2" t="s">
        <v>230</v>
      </c>
      <c r="C35" s="2" t="s">
        <v>231</v>
      </c>
      <c r="D35" s="2" t="n">
        <v>2025</v>
      </c>
      <c r="E35" s="2" t="s">
        <v>232</v>
      </c>
      <c r="F35" s="2" t="s">
        <v>233</v>
      </c>
      <c r="G35" s="2" t="s">
        <v>29</v>
      </c>
      <c r="H35" s="2" t="s">
        <v>30</v>
      </c>
      <c r="I35" s="2" t="s">
        <v>31</v>
      </c>
      <c r="J35" s="2" t="s">
        <v>48</v>
      </c>
      <c r="K35" s="2" t="s">
        <v>33</v>
      </c>
      <c r="L35" s="2" t="s">
        <v>34</v>
      </c>
      <c r="M35" s="2" t="s">
        <v>35</v>
      </c>
      <c r="N35" s="2" t="s">
        <v>179</v>
      </c>
      <c r="O35" s="2" t="s">
        <v>190</v>
      </c>
      <c r="P35" s="2" t="s">
        <v>38</v>
      </c>
      <c r="Q35" s="2" t="s">
        <v>39</v>
      </c>
      <c r="R35" s="2" t="s">
        <v>81</v>
      </c>
      <c r="S35" s="2" t="s">
        <v>39</v>
      </c>
      <c r="T35" s="2" t="s">
        <v>33</v>
      </c>
      <c r="U35" s="2" t="s">
        <v>67</v>
      </c>
      <c r="V35" s="2" t="s">
        <v>42</v>
      </c>
      <c r="W35" s="2" t="n">
        <v>0</v>
      </c>
      <c r="X35" s="2" t="n">
        <v>3</v>
      </c>
      <c r="Y35" s="2" t="s">
        <v>33</v>
      </c>
    </row>
    <row r="36" customFormat="false" ht="22.35" hidden="false" customHeight="false" outlineLevel="0" collapsed="false">
      <c r="A36" s="2" t="n">
        <v>43</v>
      </c>
      <c r="B36" s="2" t="s">
        <v>234</v>
      </c>
      <c r="C36" s="2" t="s">
        <v>235</v>
      </c>
      <c r="D36" s="2" t="n">
        <v>2024</v>
      </c>
      <c r="E36" s="2" t="s">
        <v>236</v>
      </c>
      <c r="F36" s="2" t="s">
        <v>237</v>
      </c>
      <c r="G36" s="2" t="s">
        <v>47</v>
      </c>
      <c r="H36" s="2" t="s">
        <v>30</v>
      </c>
      <c r="I36" s="2" t="s">
        <v>31</v>
      </c>
      <c r="J36" s="2" t="s">
        <v>100</v>
      </c>
      <c r="K36" s="2" t="s">
        <v>39</v>
      </c>
      <c r="L36" s="2" t="s">
        <v>34</v>
      </c>
      <c r="M36" s="2" t="s">
        <v>49</v>
      </c>
      <c r="N36" s="2" t="s">
        <v>50</v>
      </c>
      <c r="O36" s="2" t="s">
        <v>118</v>
      </c>
      <c r="P36" s="2" t="s">
        <v>38</v>
      </c>
      <c r="Q36" s="2" t="s">
        <v>39</v>
      </c>
      <c r="R36" s="2" t="s">
        <v>40</v>
      </c>
      <c r="S36" s="2" t="s">
        <v>33</v>
      </c>
      <c r="T36" s="2" t="s">
        <v>33</v>
      </c>
      <c r="U36" s="2" t="s">
        <v>41</v>
      </c>
      <c r="V36" s="2" t="s">
        <v>42</v>
      </c>
      <c r="W36" s="2" t="n">
        <v>0</v>
      </c>
      <c r="X36" s="2" t="n">
        <v>0</v>
      </c>
      <c r="Y36" s="2" t="s">
        <v>33</v>
      </c>
    </row>
    <row r="37" customFormat="false" ht="22.35" hidden="false" customHeight="false" outlineLevel="0" collapsed="false">
      <c r="A37" s="2" t="n">
        <v>44</v>
      </c>
      <c r="B37" s="2" t="s">
        <v>238</v>
      </c>
      <c r="C37" s="2" t="s">
        <v>239</v>
      </c>
      <c r="D37" s="2" t="n">
        <v>2026</v>
      </c>
      <c r="E37" s="2" t="s">
        <v>240</v>
      </c>
      <c r="F37" s="2" t="s">
        <v>237</v>
      </c>
      <c r="G37" s="2" t="s">
        <v>29</v>
      </c>
      <c r="H37" s="2" t="s">
        <v>30</v>
      </c>
      <c r="I37" s="2" t="s">
        <v>31</v>
      </c>
      <c r="J37" s="2" t="s">
        <v>48</v>
      </c>
      <c r="K37" s="2" t="s">
        <v>33</v>
      </c>
      <c r="L37" s="2" t="s">
        <v>63</v>
      </c>
      <c r="M37" s="2" t="s">
        <v>49</v>
      </c>
      <c r="N37" s="2" t="s">
        <v>50</v>
      </c>
      <c r="O37" s="2" t="s">
        <v>241</v>
      </c>
      <c r="P37" s="2" t="s">
        <v>38</v>
      </c>
      <c r="Q37" s="2" t="s">
        <v>39</v>
      </c>
      <c r="R37" s="2" t="s">
        <v>81</v>
      </c>
      <c r="S37" s="2" t="s">
        <v>39</v>
      </c>
      <c r="T37" s="2" t="s">
        <v>33</v>
      </c>
      <c r="U37" s="2" t="s">
        <v>41</v>
      </c>
      <c r="V37" s="2" t="s">
        <v>54</v>
      </c>
      <c r="W37" s="2" t="n">
        <v>0</v>
      </c>
      <c r="X37" s="2" t="n">
        <v>2</v>
      </c>
      <c r="Y37" s="2" t="s">
        <v>33</v>
      </c>
    </row>
    <row r="38" customFormat="false" ht="22.35" hidden="false" customHeight="false" outlineLevel="0" collapsed="false">
      <c r="A38" s="2" t="n">
        <v>45</v>
      </c>
      <c r="B38" s="2" t="s">
        <v>242</v>
      </c>
      <c r="C38" s="2" t="s">
        <v>243</v>
      </c>
      <c r="D38" s="2" t="n">
        <v>2026</v>
      </c>
      <c r="E38" s="2" t="s">
        <v>244</v>
      </c>
      <c r="F38" s="2" t="s">
        <v>245</v>
      </c>
      <c r="G38" s="2" t="s">
        <v>199</v>
      </c>
      <c r="H38" s="2" t="s">
        <v>30</v>
      </c>
      <c r="I38" s="2" t="s">
        <v>31</v>
      </c>
      <c r="J38" s="2" t="s">
        <v>32</v>
      </c>
      <c r="K38" s="2" t="s">
        <v>33</v>
      </c>
      <c r="L38" s="2" t="s">
        <v>34</v>
      </c>
      <c r="M38" s="2" t="s">
        <v>49</v>
      </c>
      <c r="N38" s="2" t="s">
        <v>50</v>
      </c>
      <c r="O38" s="2" t="s">
        <v>185</v>
      </c>
      <c r="P38" s="2" t="s">
        <v>38</v>
      </c>
      <c r="Q38" s="2" t="s">
        <v>39</v>
      </c>
      <c r="R38" s="2" t="s">
        <v>40</v>
      </c>
      <c r="S38" s="2" t="s">
        <v>39</v>
      </c>
      <c r="T38" s="2" t="s">
        <v>33</v>
      </c>
      <c r="U38" s="2" t="s">
        <v>41</v>
      </c>
      <c r="V38" s="2" t="s">
        <v>42</v>
      </c>
      <c r="W38" s="2" t="n">
        <v>0</v>
      </c>
      <c r="X38" s="2" t="n">
        <v>1</v>
      </c>
      <c r="Y38" s="2" t="s">
        <v>33</v>
      </c>
    </row>
    <row r="39" customFormat="false" ht="22.35" hidden="false" customHeight="false" outlineLevel="0" collapsed="false">
      <c r="A39" s="2" t="n">
        <v>46</v>
      </c>
      <c r="B39" s="2" t="s">
        <v>246</v>
      </c>
      <c r="C39" s="2" t="s">
        <v>247</v>
      </c>
      <c r="D39" s="2" t="n">
        <v>2025</v>
      </c>
      <c r="E39" s="2" t="s">
        <v>248</v>
      </c>
      <c r="F39" s="2" t="s">
        <v>249</v>
      </c>
      <c r="G39" s="2" t="s">
        <v>29</v>
      </c>
      <c r="H39" s="2" t="s">
        <v>73</v>
      </c>
      <c r="I39" s="2" t="s">
        <v>73</v>
      </c>
      <c r="J39" s="2" t="s">
        <v>100</v>
      </c>
      <c r="K39" s="2" t="s">
        <v>39</v>
      </c>
      <c r="L39" s="2" t="s">
        <v>63</v>
      </c>
      <c r="M39" s="2" t="s">
        <v>49</v>
      </c>
      <c r="N39" s="2" t="s">
        <v>50</v>
      </c>
      <c r="O39" s="2" t="s">
        <v>118</v>
      </c>
      <c r="P39" s="2" t="s">
        <v>38</v>
      </c>
      <c r="Q39" s="2" t="s">
        <v>39</v>
      </c>
      <c r="R39" s="2" t="s">
        <v>52</v>
      </c>
      <c r="S39" s="2" t="s">
        <v>33</v>
      </c>
      <c r="T39" s="2" t="s">
        <v>33</v>
      </c>
      <c r="U39" s="2" t="s">
        <v>41</v>
      </c>
      <c r="V39" s="2" t="s">
        <v>68</v>
      </c>
      <c r="W39" s="2" t="n">
        <v>0</v>
      </c>
      <c r="X39" s="2" t="n">
        <v>0</v>
      </c>
      <c r="Y39" s="2" t="s">
        <v>33</v>
      </c>
    </row>
    <row r="40" customFormat="false" ht="22.35" hidden="false" customHeight="false" outlineLevel="0" collapsed="false">
      <c r="A40" s="2" t="n">
        <v>47</v>
      </c>
      <c r="B40" s="2" t="s">
        <v>250</v>
      </c>
      <c r="C40" s="2" t="s">
        <v>251</v>
      </c>
      <c r="D40" s="2" t="n">
        <v>2026</v>
      </c>
      <c r="E40" s="2" t="s">
        <v>252</v>
      </c>
      <c r="F40" s="2" t="s">
        <v>249</v>
      </c>
      <c r="G40" s="2" t="s">
        <v>29</v>
      </c>
      <c r="H40" s="2" t="s">
        <v>30</v>
      </c>
      <c r="I40" s="2" t="s">
        <v>31</v>
      </c>
      <c r="J40" s="2" t="s">
        <v>48</v>
      </c>
      <c r="K40" s="2" t="s">
        <v>33</v>
      </c>
      <c r="L40" s="2" t="s">
        <v>34</v>
      </c>
      <c r="M40" s="2" t="s">
        <v>49</v>
      </c>
      <c r="N40" s="2" t="s">
        <v>118</v>
      </c>
      <c r="O40" s="2" t="s">
        <v>118</v>
      </c>
      <c r="P40" s="2" t="s">
        <v>38</v>
      </c>
      <c r="Q40" s="2" t="s">
        <v>39</v>
      </c>
      <c r="R40" s="2" t="s">
        <v>81</v>
      </c>
      <c r="S40" s="2" t="s">
        <v>39</v>
      </c>
      <c r="T40" s="2" t="s">
        <v>33</v>
      </c>
      <c r="U40" s="2" t="s">
        <v>41</v>
      </c>
      <c r="V40" s="2" t="s">
        <v>42</v>
      </c>
      <c r="W40" s="2" t="n">
        <v>0</v>
      </c>
      <c r="X40" s="2" t="n">
        <v>0</v>
      </c>
      <c r="Y40" s="2" t="s">
        <v>33</v>
      </c>
    </row>
    <row r="41" customFormat="false" ht="22.35" hidden="false" customHeight="false" outlineLevel="0" collapsed="false">
      <c r="A41" s="2" t="n">
        <v>48</v>
      </c>
      <c r="B41" s="2" t="s">
        <v>253</v>
      </c>
      <c r="C41" s="2" t="s">
        <v>254</v>
      </c>
      <c r="D41" s="2" t="n">
        <v>2025</v>
      </c>
      <c r="E41" s="2" t="s">
        <v>255</v>
      </c>
      <c r="F41" s="2" t="s">
        <v>256</v>
      </c>
      <c r="G41" s="2" t="s">
        <v>29</v>
      </c>
      <c r="H41" s="2" t="s">
        <v>30</v>
      </c>
      <c r="I41" s="2" t="s">
        <v>31</v>
      </c>
      <c r="J41" s="2" t="s">
        <v>159</v>
      </c>
      <c r="K41" s="2" t="s">
        <v>33</v>
      </c>
      <c r="L41" s="2" t="s">
        <v>34</v>
      </c>
      <c r="M41" s="2" t="s">
        <v>49</v>
      </c>
      <c r="N41" s="2" t="s">
        <v>50</v>
      </c>
      <c r="O41" s="2" t="s">
        <v>257</v>
      </c>
      <c r="P41" s="2" t="s">
        <v>94</v>
      </c>
      <c r="Q41" s="2" t="s">
        <v>39</v>
      </c>
      <c r="R41" s="2" t="s">
        <v>40</v>
      </c>
      <c r="S41" s="2" t="s">
        <v>33</v>
      </c>
      <c r="T41" s="2" t="s">
        <v>33</v>
      </c>
      <c r="U41" s="2" t="s">
        <v>53</v>
      </c>
      <c r="V41" s="2" t="s">
        <v>68</v>
      </c>
      <c r="W41" s="2" t="n">
        <v>0</v>
      </c>
      <c r="X41" s="2" t="n">
        <v>3</v>
      </c>
      <c r="Y41" s="2" t="s">
        <v>33</v>
      </c>
    </row>
    <row r="42" customFormat="false" ht="22.35" hidden="false" customHeight="false" outlineLevel="0" collapsed="false">
      <c r="A42" s="2" t="n">
        <v>49</v>
      </c>
      <c r="B42" s="2" t="s">
        <v>258</v>
      </c>
      <c r="C42" s="2" t="s">
        <v>259</v>
      </c>
      <c r="D42" s="2" t="n">
        <v>2026</v>
      </c>
      <c r="E42" s="2" t="s">
        <v>260</v>
      </c>
      <c r="F42" s="2" t="s">
        <v>261</v>
      </c>
      <c r="G42" s="2" t="s">
        <v>99</v>
      </c>
      <c r="H42" s="2" t="s">
        <v>30</v>
      </c>
      <c r="I42" s="2" t="s">
        <v>31</v>
      </c>
      <c r="J42" s="2" t="s">
        <v>100</v>
      </c>
      <c r="K42" s="2" t="s">
        <v>39</v>
      </c>
      <c r="L42" s="2" t="s">
        <v>34</v>
      </c>
      <c r="M42" s="2" t="s">
        <v>49</v>
      </c>
      <c r="N42" s="2" t="s">
        <v>50</v>
      </c>
      <c r="O42" s="2" t="s">
        <v>164</v>
      </c>
      <c r="P42" s="2" t="s">
        <v>94</v>
      </c>
      <c r="Q42" s="2" t="s">
        <v>39</v>
      </c>
      <c r="R42" s="2" t="s">
        <v>40</v>
      </c>
      <c r="S42" s="2" t="s">
        <v>39</v>
      </c>
      <c r="T42" s="2" t="s">
        <v>39</v>
      </c>
      <c r="U42" s="2" t="s">
        <v>53</v>
      </c>
      <c r="V42" s="2" t="s">
        <v>68</v>
      </c>
      <c r="W42" s="2" t="n">
        <v>1</v>
      </c>
      <c r="X42" s="2" t="n">
        <v>1</v>
      </c>
      <c r="Y42" s="2" t="s">
        <v>39</v>
      </c>
    </row>
    <row r="43" customFormat="false" ht="22.35" hidden="false" customHeight="false" outlineLevel="0" collapsed="false">
      <c r="A43" s="2" t="n">
        <v>50</v>
      </c>
      <c r="B43" s="2" t="s">
        <v>262</v>
      </c>
      <c r="C43" s="2" t="s">
        <v>263</v>
      </c>
      <c r="D43" s="2" t="n">
        <v>2023</v>
      </c>
      <c r="E43" s="2" t="s">
        <v>264</v>
      </c>
      <c r="F43" s="2" t="s">
        <v>265</v>
      </c>
      <c r="G43" s="2" t="s">
        <v>266</v>
      </c>
      <c r="H43" s="2" t="s">
        <v>30</v>
      </c>
      <c r="I43" s="2" t="s">
        <v>31</v>
      </c>
      <c r="J43" s="2" t="s">
        <v>100</v>
      </c>
      <c r="K43" s="2" t="s">
        <v>39</v>
      </c>
      <c r="L43" s="2" t="s">
        <v>34</v>
      </c>
      <c r="M43" s="2" t="s">
        <v>49</v>
      </c>
      <c r="N43" s="2" t="s">
        <v>50</v>
      </c>
      <c r="O43" s="2" t="s">
        <v>267</v>
      </c>
      <c r="P43" s="2" t="s">
        <v>38</v>
      </c>
      <c r="Q43" s="2" t="s">
        <v>39</v>
      </c>
      <c r="R43" s="2" t="s">
        <v>52</v>
      </c>
      <c r="S43" s="2" t="s">
        <v>33</v>
      </c>
      <c r="T43" s="2" t="s">
        <v>33</v>
      </c>
      <c r="U43" s="2" t="s">
        <v>41</v>
      </c>
      <c r="V43" s="2" t="s">
        <v>42</v>
      </c>
      <c r="W43" s="2" t="n">
        <v>0</v>
      </c>
      <c r="X43" s="2" t="n">
        <v>1</v>
      </c>
      <c r="Y43" s="2" t="s">
        <v>33</v>
      </c>
    </row>
    <row r="44" customFormat="false" ht="22.35" hidden="false" customHeight="false" outlineLevel="0" collapsed="false">
      <c r="A44" s="2" t="n">
        <v>51</v>
      </c>
      <c r="B44" s="2" t="s">
        <v>268</v>
      </c>
      <c r="C44" s="2" t="s">
        <v>269</v>
      </c>
      <c r="D44" s="2" t="n">
        <v>2026</v>
      </c>
      <c r="E44" s="2" t="s">
        <v>270</v>
      </c>
      <c r="F44" s="2" t="s">
        <v>271</v>
      </c>
      <c r="G44" s="2" t="s">
        <v>29</v>
      </c>
      <c r="H44" s="2" t="s">
        <v>73</v>
      </c>
      <c r="I44" s="2" t="s">
        <v>73</v>
      </c>
      <c r="J44" s="2" t="s">
        <v>100</v>
      </c>
      <c r="K44" s="2" t="s">
        <v>39</v>
      </c>
      <c r="L44" s="2" t="s">
        <v>34</v>
      </c>
      <c r="M44" s="2" t="s">
        <v>49</v>
      </c>
      <c r="N44" s="2" t="s">
        <v>50</v>
      </c>
      <c r="O44" s="2" t="s">
        <v>272</v>
      </c>
      <c r="P44" s="2" t="s">
        <v>38</v>
      </c>
      <c r="Q44" s="2" t="s">
        <v>39</v>
      </c>
      <c r="R44" s="2" t="s">
        <v>81</v>
      </c>
      <c r="S44" s="2" t="s">
        <v>39</v>
      </c>
      <c r="T44" s="2" t="s">
        <v>33</v>
      </c>
      <c r="U44" s="2" t="s">
        <v>41</v>
      </c>
      <c r="V44" s="2" t="s">
        <v>68</v>
      </c>
      <c r="W44" s="2" t="n">
        <v>0</v>
      </c>
      <c r="X44" s="2" t="n">
        <v>2</v>
      </c>
      <c r="Y44" s="2" t="s">
        <v>33</v>
      </c>
    </row>
    <row r="45" customFormat="false" ht="22.35" hidden="false" customHeight="false" outlineLevel="0" collapsed="false">
      <c r="A45" s="2" t="n">
        <v>52</v>
      </c>
      <c r="B45" s="2" t="s">
        <v>273</v>
      </c>
      <c r="C45" s="2" t="s">
        <v>274</v>
      </c>
      <c r="D45" s="2" t="n">
        <v>2026</v>
      </c>
      <c r="E45" s="2" t="s">
        <v>275</v>
      </c>
      <c r="F45" s="2" t="s">
        <v>271</v>
      </c>
      <c r="G45" s="2" t="s">
        <v>29</v>
      </c>
      <c r="H45" s="2" t="s">
        <v>73</v>
      </c>
      <c r="I45" s="2" t="s">
        <v>73</v>
      </c>
      <c r="J45" s="2" t="s">
        <v>32</v>
      </c>
      <c r="K45" s="2" t="s">
        <v>33</v>
      </c>
      <c r="L45" s="2" t="s">
        <v>110</v>
      </c>
      <c r="M45" s="2" t="s">
        <v>49</v>
      </c>
      <c r="N45" s="2" t="s">
        <v>50</v>
      </c>
      <c r="O45" s="2" t="s">
        <v>276</v>
      </c>
      <c r="P45" s="2" t="s">
        <v>38</v>
      </c>
      <c r="Q45" s="2" t="s">
        <v>39</v>
      </c>
      <c r="R45" s="2" t="s">
        <v>81</v>
      </c>
      <c r="S45" s="2" t="s">
        <v>39</v>
      </c>
      <c r="T45" s="2" t="s">
        <v>33</v>
      </c>
      <c r="U45" s="2" t="s">
        <v>41</v>
      </c>
      <c r="V45" s="2" t="s">
        <v>54</v>
      </c>
      <c r="W45" s="2" t="n">
        <v>0</v>
      </c>
      <c r="X45" s="2" t="n">
        <v>3</v>
      </c>
      <c r="Y45" s="2" t="s">
        <v>33</v>
      </c>
    </row>
    <row r="46" customFormat="false" ht="22.35" hidden="false" customHeight="false" outlineLevel="0" collapsed="false">
      <c r="A46" s="2" t="n">
        <v>53</v>
      </c>
      <c r="B46" s="2" t="s">
        <v>277</v>
      </c>
      <c r="C46" s="2" t="s">
        <v>278</v>
      </c>
      <c r="D46" s="2" t="n">
        <v>2026</v>
      </c>
      <c r="E46" s="2" t="s">
        <v>279</v>
      </c>
      <c r="F46" s="2" t="s">
        <v>280</v>
      </c>
      <c r="G46" s="2" t="s">
        <v>194</v>
      </c>
      <c r="H46" s="2" t="s">
        <v>30</v>
      </c>
      <c r="I46" s="2" t="s">
        <v>31</v>
      </c>
      <c r="J46" s="2" t="s">
        <v>79</v>
      </c>
      <c r="K46" s="2" t="s">
        <v>39</v>
      </c>
      <c r="L46" s="2" t="s">
        <v>34</v>
      </c>
      <c r="M46" s="2" t="s">
        <v>49</v>
      </c>
      <c r="N46" s="2" t="s">
        <v>50</v>
      </c>
      <c r="O46" s="2" t="s">
        <v>281</v>
      </c>
      <c r="P46" s="2" t="s">
        <v>202</v>
      </c>
      <c r="Q46" s="2" t="s">
        <v>39</v>
      </c>
      <c r="R46" s="2" t="s">
        <v>40</v>
      </c>
      <c r="S46" s="2" t="s">
        <v>33</v>
      </c>
      <c r="T46" s="2" t="s">
        <v>33</v>
      </c>
      <c r="U46" s="2" t="s">
        <v>41</v>
      </c>
      <c r="V46" s="2" t="s">
        <v>42</v>
      </c>
      <c r="W46" s="2" t="n">
        <v>0</v>
      </c>
      <c r="X46" s="2" t="n">
        <v>1</v>
      </c>
      <c r="Y46" s="2" t="s">
        <v>33</v>
      </c>
    </row>
    <row r="47" customFormat="false" ht="15" hidden="false" customHeight="false" outlineLevel="0" collapsed="false">
      <c r="A47" s="2" t="n">
        <v>54</v>
      </c>
      <c r="B47" s="2" t="s">
        <v>282</v>
      </c>
      <c r="C47" s="2" t="s">
        <v>283</v>
      </c>
      <c r="D47" s="2" t="n">
        <v>2023</v>
      </c>
      <c r="E47" s="2" t="s">
        <v>284</v>
      </c>
      <c r="F47" s="2" t="s">
        <v>285</v>
      </c>
      <c r="G47" s="2" t="s">
        <v>286</v>
      </c>
      <c r="H47" s="2" t="s">
        <v>30</v>
      </c>
      <c r="I47" s="2" t="s">
        <v>31</v>
      </c>
      <c r="J47" s="2" t="s">
        <v>32</v>
      </c>
      <c r="K47" s="2" t="s">
        <v>33</v>
      </c>
      <c r="L47" s="2" t="s">
        <v>34</v>
      </c>
      <c r="M47" s="2" t="s">
        <v>49</v>
      </c>
      <c r="N47" s="2" t="s">
        <v>50</v>
      </c>
      <c r="O47" s="2" t="s">
        <v>287</v>
      </c>
      <c r="P47" s="2" t="s">
        <v>38</v>
      </c>
      <c r="Q47" s="2" t="s">
        <v>39</v>
      </c>
      <c r="R47" s="2" t="s">
        <v>52</v>
      </c>
      <c r="S47" s="2" t="s">
        <v>33</v>
      </c>
      <c r="T47" s="2" t="s">
        <v>33</v>
      </c>
      <c r="U47" s="2" t="s">
        <v>67</v>
      </c>
      <c r="V47" s="2" t="s">
        <v>42</v>
      </c>
      <c r="W47" s="2" t="n">
        <v>0</v>
      </c>
      <c r="X47" s="2" t="n">
        <v>1</v>
      </c>
      <c r="Y47" s="2" t="s">
        <v>33</v>
      </c>
    </row>
    <row r="48" customFormat="false" ht="22.35" hidden="false" customHeight="false" outlineLevel="0" collapsed="false">
      <c r="A48" s="2" t="n">
        <v>55</v>
      </c>
      <c r="B48" s="2" t="s">
        <v>288</v>
      </c>
      <c r="C48" s="2" t="s">
        <v>289</v>
      </c>
      <c r="D48" s="2" t="n">
        <v>2025</v>
      </c>
      <c r="E48" s="2" t="s">
        <v>290</v>
      </c>
      <c r="F48" s="2" t="s">
        <v>285</v>
      </c>
      <c r="G48" s="2" t="s">
        <v>291</v>
      </c>
      <c r="H48" s="2" t="s">
        <v>30</v>
      </c>
      <c r="I48" s="2" t="s">
        <v>31</v>
      </c>
      <c r="J48" s="2" t="s">
        <v>32</v>
      </c>
      <c r="K48" s="2" t="s">
        <v>33</v>
      </c>
      <c r="L48" s="2" t="s">
        <v>34</v>
      </c>
      <c r="M48" s="2" t="s">
        <v>49</v>
      </c>
      <c r="N48" s="2" t="s">
        <v>50</v>
      </c>
      <c r="O48" s="2" t="s">
        <v>212</v>
      </c>
      <c r="P48" s="2" t="s">
        <v>94</v>
      </c>
      <c r="Q48" s="2" t="s">
        <v>39</v>
      </c>
      <c r="R48" s="2" t="s">
        <v>81</v>
      </c>
      <c r="S48" s="2" t="s">
        <v>39</v>
      </c>
      <c r="T48" s="2" t="s">
        <v>33</v>
      </c>
      <c r="U48" s="2" t="s">
        <v>67</v>
      </c>
      <c r="V48" s="2" t="s">
        <v>68</v>
      </c>
      <c r="W48" s="2" t="n">
        <v>0</v>
      </c>
      <c r="X48" s="2" t="n">
        <v>1</v>
      </c>
      <c r="Y48" s="2" t="s">
        <v>39</v>
      </c>
    </row>
    <row r="49" customFormat="false" ht="22.35" hidden="false" customHeight="false" outlineLevel="0" collapsed="false">
      <c r="A49" s="2" t="n">
        <v>56</v>
      </c>
      <c r="B49" s="2" t="s">
        <v>292</v>
      </c>
      <c r="C49" s="2" t="s">
        <v>293</v>
      </c>
      <c r="D49" s="2" t="n">
        <v>2025</v>
      </c>
      <c r="E49" s="2" t="s">
        <v>294</v>
      </c>
      <c r="F49" s="2" t="s">
        <v>295</v>
      </c>
      <c r="G49" s="2" t="s">
        <v>29</v>
      </c>
      <c r="H49" s="2" t="s">
        <v>30</v>
      </c>
      <c r="I49" s="2" t="s">
        <v>31</v>
      </c>
      <c r="J49" s="2" t="s">
        <v>159</v>
      </c>
      <c r="K49" s="2" t="s">
        <v>33</v>
      </c>
      <c r="L49" s="2" t="s">
        <v>34</v>
      </c>
      <c r="M49" s="2" t="s">
        <v>49</v>
      </c>
      <c r="N49" s="2" t="s">
        <v>50</v>
      </c>
      <c r="O49" s="2" t="s">
        <v>129</v>
      </c>
      <c r="P49" s="2" t="s">
        <v>38</v>
      </c>
      <c r="Q49" s="2" t="s">
        <v>39</v>
      </c>
      <c r="R49" s="2" t="s">
        <v>81</v>
      </c>
      <c r="S49" s="2" t="s">
        <v>39</v>
      </c>
      <c r="T49" s="2" t="s">
        <v>33</v>
      </c>
      <c r="U49" s="2" t="s">
        <v>53</v>
      </c>
      <c r="V49" s="2" t="s">
        <v>42</v>
      </c>
      <c r="W49" s="2" t="n">
        <v>0</v>
      </c>
      <c r="X49" s="2" t="n">
        <v>2</v>
      </c>
      <c r="Y49" s="2" t="s">
        <v>33</v>
      </c>
    </row>
    <row r="50" customFormat="false" ht="22.35" hidden="false" customHeight="false" outlineLevel="0" collapsed="false">
      <c r="A50" s="2" t="n">
        <v>57</v>
      </c>
      <c r="B50" s="2" t="s">
        <v>296</v>
      </c>
      <c r="C50" s="2" t="s">
        <v>297</v>
      </c>
      <c r="D50" s="2" t="n">
        <v>2025</v>
      </c>
      <c r="E50" s="2" t="s">
        <v>298</v>
      </c>
      <c r="F50" s="2" t="s">
        <v>295</v>
      </c>
      <c r="G50" s="2" t="s">
        <v>299</v>
      </c>
      <c r="H50" s="2" t="s">
        <v>30</v>
      </c>
      <c r="I50" s="2" t="s">
        <v>31</v>
      </c>
      <c r="J50" s="2" t="s">
        <v>159</v>
      </c>
      <c r="K50" s="2" t="s">
        <v>33</v>
      </c>
      <c r="L50" s="2" t="s">
        <v>34</v>
      </c>
      <c r="M50" s="2" t="s">
        <v>49</v>
      </c>
      <c r="N50" s="2" t="s">
        <v>50</v>
      </c>
      <c r="O50" s="2" t="s">
        <v>300</v>
      </c>
      <c r="P50" s="2" t="s">
        <v>38</v>
      </c>
      <c r="Q50" s="2" t="s">
        <v>39</v>
      </c>
      <c r="R50" s="2" t="s">
        <v>52</v>
      </c>
      <c r="S50" s="2" t="s">
        <v>33</v>
      </c>
      <c r="T50" s="2" t="s">
        <v>33</v>
      </c>
      <c r="U50" s="2" t="s">
        <v>67</v>
      </c>
      <c r="V50" s="2" t="s">
        <v>54</v>
      </c>
      <c r="W50" s="2" t="n">
        <v>0</v>
      </c>
      <c r="X50" s="2" t="n">
        <v>2</v>
      </c>
      <c r="Y50" s="2" t="s">
        <v>33</v>
      </c>
    </row>
    <row r="51" customFormat="false" ht="22.35" hidden="false" customHeight="false" outlineLevel="0" collapsed="false">
      <c r="A51" s="2" t="n">
        <v>58</v>
      </c>
      <c r="B51" s="2" t="s">
        <v>301</v>
      </c>
      <c r="C51" s="2" t="s">
        <v>302</v>
      </c>
      <c r="D51" s="2" t="n">
        <v>2025</v>
      </c>
      <c r="E51" s="2" t="s">
        <v>303</v>
      </c>
      <c r="F51" s="2" t="s">
        <v>304</v>
      </c>
      <c r="G51" s="2" t="s">
        <v>99</v>
      </c>
      <c r="H51" s="2" t="s">
        <v>30</v>
      </c>
      <c r="I51" s="2" t="s">
        <v>31</v>
      </c>
      <c r="J51" s="2" t="s">
        <v>123</v>
      </c>
      <c r="K51" s="2" t="s">
        <v>39</v>
      </c>
      <c r="L51" s="2" t="s">
        <v>34</v>
      </c>
      <c r="M51" s="2" t="s">
        <v>49</v>
      </c>
      <c r="N51" s="2" t="s">
        <v>50</v>
      </c>
      <c r="O51" s="2" t="s">
        <v>305</v>
      </c>
      <c r="P51" s="2" t="s">
        <v>38</v>
      </c>
      <c r="Q51" s="2" t="s">
        <v>39</v>
      </c>
      <c r="R51" s="2" t="s">
        <v>81</v>
      </c>
      <c r="S51" s="2" t="s">
        <v>39</v>
      </c>
      <c r="T51" s="2" t="s">
        <v>39</v>
      </c>
      <c r="U51" s="2" t="s">
        <v>53</v>
      </c>
      <c r="V51" s="2" t="s">
        <v>42</v>
      </c>
      <c r="W51" s="2" t="n">
        <v>1</v>
      </c>
      <c r="X51" s="2" t="n">
        <v>2</v>
      </c>
      <c r="Y51" s="2" t="s">
        <v>33</v>
      </c>
    </row>
    <row r="52" customFormat="false" ht="22.35" hidden="false" customHeight="false" outlineLevel="0" collapsed="false">
      <c r="A52" s="2" t="n">
        <v>59</v>
      </c>
      <c r="B52" s="2" t="s">
        <v>306</v>
      </c>
      <c r="C52" s="2" t="s">
        <v>307</v>
      </c>
      <c r="D52" s="2" t="n">
        <v>2026</v>
      </c>
      <c r="E52" s="2" t="s">
        <v>308</v>
      </c>
      <c r="F52" s="2" t="s">
        <v>309</v>
      </c>
      <c r="G52" s="2" t="s">
        <v>310</v>
      </c>
      <c r="H52" s="2" t="s">
        <v>30</v>
      </c>
      <c r="I52" s="2" t="s">
        <v>31</v>
      </c>
      <c r="J52" s="2" t="s">
        <v>32</v>
      </c>
      <c r="K52" s="2" t="s">
        <v>33</v>
      </c>
      <c r="L52" s="2" t="s">
        <v>63</v>
      </c>
      <c r="M52" s="2" t="s">
        <v>49</v>
      </c>
      <c r="N52" s="2" t="s">
        <v>50</v>
      </c>
      <c r="O52" s="2" t="s">
        <v>257</v>
      </c>
      <c r="P52" s="2" t="s">
        <v>202</v>
      </c>
      <c r="Q52" s="2" t="s">
        <v>39</v>
      </c>
      <c r="R52" s="2" t="s">
        <v>52</v>
      </c>
      <c r="S52" s="2" t="s">
        <v>33</v>
      </c>
      <c r="T52" s="2" t="s">
        <v>33</v>
      </c>
      <c r="U52" s="2" t="s">
        <v>53</v>
      </c>
      <c r="V52" s="2" t="s">
        <v>42</v>
      </c>
      <c r="W52" s="2" t="n">
        <v>0</v>
      </c>
      <c r="X52" s="2" t="n">
        <v>2</v>
      </c>
      <c r="Y52" s="2" t="s">
        <v>33</v>
      </c>
    </row>
    <row r="53" customFormat="false" ht="22.35" hidden="false" customHeight="false" outlineLevel="0" collapsed="false">
      <c r="A53" s="2" t="n">
        <v>60</v>
      </c>
      <c r="B53" s="2" t="s">
        <v>311</v>
      </c>
      <c r="C53" s="2" t="s">
        <v>312</v>
      </c>
      <c r="D53" s="2" t="n">
        <v>2026</v>
      </c>
      <c r="E53" s="2" t="s">
        <v>313</v>
      </c>
      <c r="F53" s="2" t="s">
        <v>314</v>
      </c>
      <c r="G53" s="2" t="s">
        <v>291</v>
      </c>
      <c r="H53" s="2" t="s">
        <v>30</v>
      </c>
      <c r="I53" s="2" t="s">
        <v>31</v>
      </c>
      <c r="J53" s="2" t="s">
        <v>315</v>
      </c>
      <c r="K53" s="2" t="s">
        <v>33</v>
      </c>
      <c r="L53" s="2" t="s">
        <v>63</v>
      </c>
      <c r="M53" s="2" t="s">
        <v>49</v>
      </c>
      <c r="N53" s="2" t="s">
        <v>50</v>
      </c>
      <c r="O53" s="2" t="s">
        <v>316</v>
      </c>
      <c r="P53" s="2" t="s">
        <v>38</v>
      </c>
      <c r="Q53" s="2" t="s">
        <v>33</v>
      </c>
      <c r="R53" s="2" t="s">
        <v>53</v>
      </c>
      <c r="S53" s="2" t="s">
        <v>33</v>
      </c>
      <c r="T53" s="2" t="s">
        <v>33</v>
      </c>
      <c r="U53" s="2" t="s">
        <v>67</v>
      </c>
      <c r="V53" s="2" t="s">
        <v>42</v>
      </c>
      <c r="W53" s="2" t="n">
        <v>0</v>
      </c>
      <c r="X53" s="2" t="n">
        <v>2</v>
      </c>
      <c r="Y53" s="2" t="s">
        <v>33</v>
      </c>
    </row>
    <row r="54" customFormat="false" ht="22.35" hidden="false" customHeight="false" outlineLevel="0" collapsed="false">
      <c r="A54" s="2" t="n">
        <v>61</v>
      </c>
      <c r="B54" s="2" t="s">
        <v>317</v>
      </c>
      <c r="C54" s="2" t="s">
        <v>318</v>
      </c>
      <c r="D54" s="2" t="n">
        <v>2023</v>
      </c>
      <c r="E54" s="2" t="s">
        <v>319</v>
      </c>
      <c r="F54" s="2" t="s">
        <v>320</v>
      </c>
      <c r="G54" s="2" t="s">
        <v>291</v>
      </c>
      <c r="H54" s="2" t="s">
        <v>321</v>
      </c>
      <c r="I54" s="2" t="s">
        <v>154</v>
      </c>
      <c r="J54" s="2" t="s">
        <v>100</v>
      </c>
      <c r="K54" s="2" t="s">
        <v>39</v>
      </c>
      <c r="L54" s="2" t="s">
        <v>322</v>
      </c>
      <c r="M54" s="2" t="s">
        <v>35</v>
      </c>
      <c r="N54" s="2" t="s">
        <v>36</v>
      </c>
      <c r="O54" s="2" t="s">
        <v>323</v>
      </c>
      <c r="P54" s="2" t="s">
        <v>202</v>
      </c>
      <c r="Q54" s="2" t="s">
        <v>39</v>
      </c>
      <c r="R54" s="2" t="s">
        <v>40</v>
      </c>
      <c r="S54" s="2" t="s">
        <v>33</v>
      </c>
      <c r="T54" s="2" t="s">
        <v>33</v>
      </c>
      <c r="U54" s="2" t="s">
        <v>67</v>
      </c>
      <c r="V54" s="2" t="s">
        <v>42</v>
      </c>
      <c r="W54" s="2" t="n">
        <v>0</v>
      </c>
      <c r="X54" s="2" t="n">
        <v>2</v>
      </c>
      <c r="Y54" s="2" t="s">
        <v>33</v>
      </c>
    </row>
    <row r="55" customFormat="false" ht="22.35" hidden="false" customHeight="false" outlineLevel="0" collapsed="false">
      <c r="A55" s="2" t="n">
        <v>62</v>
      </c>
      <c r="B55" s="2" t="s">
        <v>324</v>
      </c>
      <c r="C55" s="2" t="s">
        <v>325</v>
      </c>
      <c r="D55" s="2" t="n">
        <v>2024</v>
      </c>
      <c r="E55" s="2" t="s">
        <v>326</v>
      </c>
      <c r="F55" s="2" t="s">
        <v>320</v>
      </c>
      <c r="G55" s="2" t="s">
        <v>173</v>
      </c>
      <c r="H55" s="2" t="s">
        <v>30</v>
      </c>
      <c r="I55" s="2" t="s">
        <v>31</v>
      </c>
      <c r="J55" s="2" t="s">
        <v>32</v>
      </c>
      <c r="K55" s="2" t="s">
        <v>33</v>
      </c>
      <c r="L55" s="2" t="s">
        <v>110</v>
      </c>
      <c r="M55" s="2" t="s">
        <v>49</v>
      </c>
      <c r="N55" s="2" t="s">
        <v>50</v>
      </c>
      <c r="O55" s="2" t="s">
        <v>327</v>
      </c>
      <c r="P55" s="2" t="s">
        <v>38</v>
      </c>
      <c r="Q55" s="2" t="s">
        <v>39</v>
      </c>
      <c r="R55" s="2" t="s">
        <v>52</v>
      </c>
      <c r="S55" s="2" t="s">
        <v>33</v>
      </c>
      <c r="T55" s="2" t="s">
        <v>33</v>
      </c>
      <c r="U55" s="2" t="s">
        <v>41</v>
      </c>
      <c r="V55" s="2" t="s">
        <v>42</v>
      </c>
      <c r="W55" s="2" t="n">
        <v>0</v>
      </c>
      <c r="X55" s="2" t="n">
        <v>1</v>
      </c>
      <c r="Y55" s="2" t="s">
        <v>33</v>
      </c>
    </row>
    <row r="56" customFormat="false" ht="15" hidden="false" customHeight="false" outlineLevel="0" collapsed="false">
      <c r="A56" s="2" t="n">
        <v>63</v>
      </c>
      <c r="B56" s="2" t="s">
        <v>328</v>
      </c>
      <c r="C56" s="2" t="s">
        <v>318</v>
      </c>
      <c r="D56" s="2" t="n">
        <v>2025</v>
      </c>
      <c r="E56" s="2" t="s">
        <v>329</v>
      </c>
      <c r="F56" s="2" t="s">
        <v>320</v>
      </c>
      <c r="G56" s="2" t="s">
        <v>291</v>
      </c>
      <c r="H56" s="2" t="s">
        <v>73</v>
      </c>
      <c r="I56" s="2" t="s">
        <v>73</v>
      </c>
      <c r="J56" s="2" t="s">
        <v>100</v>
      </c>
      <c r="K56" s="2" t="s">
        <v>39</v>
      </c>
      <c r="L56" s="2" t="s">
        <v>330</v>
      </c>
      <c r="M56" s="2" t="s">
        <v>35</v>
      </c>
      <c r="N56" s="2" t="s">
        <v>36</v>
      </c>
      <c r="O56" s="2" t="s">
        <v>331</v>
      </c>
      <c r="P56" s="2" t="s">
        <v>66</v>
      </c>
      <c r="Q56" s="2" t="s">
        <v>39</v>
      </c>
      <c r="R56" s="2" t="s">
        <v>52</v>
      </c>
      <c r="S56" s="2" t="s">
        <v>33</v>
      </c>
      <c r="T56" s="2" t="s">
        <v>33</v>
      </c>
      <c r="U56" s="2" t="s">
        <v>67</v>
      </c>
      <c r="V56" s="2" t="s">
        <v>42</v>
      </c>
      <c r="W56" s="2" t="n">
        <v>0</v>
      </c>
      <c r="X56" s="2" t="n">
        <v>1</v>
      </c>
      <c r="Y56" s="2" t="s">
        <v>33</v>
      </c>
    </row>
    <row r="57" customFormat="false" ht="22.35" hidden="false" customHeight="false" outlineLevel="0" collapsed="false">
      <c r="A57" s="2" t="n">
        <v>64</v>
      </c>
      <c r="B57" s="2" t="s">
        <v>332</v>
      </c>
      <c r="C57" s="2" t="s">
        <v>333</v>
      </c>
      <c r="D57" s="2" t="n">
        <v>2025</v>
      </c>
      <c r="E57" s="2" t="s">
        <v>334</v>
      </c>
      <c r="F57" s="2" t="s">
        <v>320</v>
      </c>
      <c r="G57" s="2" t="s">
        <v>128</v>
      </c>
      <c r="H57" s="2" t="s">
        <v>321</v>
      </c>
      <c r="I57" s="2" t="s">
        <v>154</v>
      </c>
      <c r="J57" s="2" t="s">
        <v>315</v>
      </c>
      <c r="K57" s="2" t="s">
        <v>33</v>
      </c>
      <c r="L57" s="2" t="s">
        <v>330</v>
      </c>
      <c r="M57" s="2" t="s">
        <v>35</v>
      </c>
      <c r="N57" s="2" t="s">
        <v>36</v>
      </c>
      <c r="O57" s="2" t="s">
        <v>335</v>
      </c>
      <c r="P57" s="2" t="s">
        <v>38</v>
      </c>
      <c r="Q57" s="2" t="s">
        <v>39</v>
      </c>
      <c r="R57" s="2" t="s">
        <v>52</v>
      </c>
      <c r="S57" s="2" t="s">
        <v>33</v>
      </c>
      <c r="T57" s="2" t="s">
        <v>33</v>
      </c>
      <c r="U57" s="2" t="s">
        <v>41</v>
      </c>
      <c r="V57" s="2" t="s">
        <v>42</v>
      </c>
      <c r="W57" s="2" t="n">
        <v>0</v>
      </c>
      <c r="X57" s="2" t="n">
        <v>2</v>
      </c>
      <c r="Y57" s="2" t="s">
        <v>33</v>
      </c>
    </row>
    <row r="58" customFormat="false" ht="22.35" hidden="false" customHeight="false" outlineLevel="0" collapsed="false">
      <c r="A58" s="2" t="n">
        <v>65</v>
      </c>
      <c r="B58" s="2" t="s">
        <v>336</v>
      </c>
      <c r="C58" s="2" t="s">
        <v>337</v>
      </c>
      <c r="D58" s="2" t="n">
        <v>2025</v>
      </c>
      <c r="E58" s="2" t="s">
        <v>338</v>
      </c>
      <c r="F58" s="2" t="s">
        <v>320</v>
      </c>
      <c r="G58" s="2" t="s">
        <v>99</v>
      </c>
      <c r="H58" s="2" t="s">
        <v>30</v>
      </c>
      <c r="I58" s="2" t="s">
        <v>31</v>
      </c>
      <c r="J58" s="2" t="s">
        <v>79</v>
      </c>
      <c r="K58" s="2" t="s">
        <v>39</v>
      </c>
      <c r="L58" s="2" t="s">
        <v>34</v>
      </c>
      <c r="M58" s="2" t="s">
        <v>35</v>
      </c>
      <c r="N58" s="2" t="s">
        <v>179</v>
      </c>
      <c r="O58" s="2" t="s">
        <v>339</v>
      </c>
      <c r="P58" s="2" t="s">
        <v>66</v>
      </c>
      <c r="Q58" s="2" t="s">
        <v>39</v>
      </c>
      <c r="R58" s="2" t="s">
        <v>81</v>
      </c>
      <c r="S58" s="2" t="s">
        <v>39</v>
      </c>
      <c r="T58" s="2" t="s">
        <v>39</v>
      </c>
      <c r="U58" s="2" t="s">
        <v>53</v>
      </c>
      <c r="V58" s="2" t="s">
        <v>68</v>
      </c>
      <c r="W58" s="2" t="n">
        <v>1</v>
      </c>
      <c r="X58" s="2" t="n">
        <v>2</v>
      </c>
      <c r="Y58" s="2" t="s">
        <v>39</v>
      </c>
    </row>
    <row r="59" customFormat="false" ht="22.35" hidden="false" customHeight="false" outlineLevel="0" collapsed="false">
      <c r="A59" s="2" t="n">
        <v>66</v>
      </c>
      <c r="B59" s="2" t="s">
        <v>340</v>
      </c>
      <c r="C59" s="2" t="s">
        <v>341</v>
      </c>
      <c r="D59" s="2" t="n">
        <v>2025</v>
      </c>
      <c r="E59" s="2" t="s">
        <v>342</v>
      </c>
      <c r="F59" s="2" t="s">
        <v>320</v>
      </c>
      <c r="G59" s="2" t="s">
        <v>29</v>
      </c>
      <c r="H59" s="2" t="s">
        <v>30</v>
      </c>
      <c r="I59" s="2" t="s">
        <v>31</v>
      </c>
      <c r="J59" s="2" t="s">
        <v>123</v>
      </c>
      <c r="K59" s="2" t="s">
        <v>33</v>
      </c>
      <c r="L59" s="2" t="s">
        <v>34</v>
      </c>
      <c r="M59" s="2" t="s">
        <v>49</v>
      </c>
      <c r="N59" s="2" t="s">
        <v>50</v>
      </c>
      <c r="O59" s="2" t="s">
        <v>343</v>
      </c>
      <c r="P59" s="2" t="s">
        <v>38</v>
      </c>
      <c r="Q59" s="2" t="s">
        <v>39</v>
      </c>
      <c r="R59" s="2" t="s">
        <v>52</v>
      </c>
      <c r="S59" s="2" t="s">
        <v>33</v>
      </c>
      <c r="T59" s="2" t="s">
        <v>33</v>
      </c>
      <c r="U59" s="2" t="s">
        <v>41</v>
      </c>
      <c r="V59" s="2" t="s">
        <v>42</v>
      </c>
      <c r="W59" s="2" t="n">
        <v>0</v>
      </c>
      <c r="X59" s="2" t="n">
        <v>1</v>
      </c>
      <c r="Y59" s="2" t="s">
        <v>33</v>
      </c>
    </row>
    <row r="60" customFormat="false" ht="15" hidden="false" customHeight="false" outlineLevel="0" collapsed="false">
      <c r="A60" s="2" t="n">
        <v>67</v>
      </c>
      <c r="B60" s="2" t="s">
        <v>344</v>
      </c>
      <c r="C60" s="2" t="s">
        <v>345</v>
      </c>
      <c r="D60" s="2" t="n">
        <v>2025</v>
      </c>
      <c r="E60" s="2" t="s">
        <v>346</v>
      </c>
      <c r="F60" s="2" t="s">
        <v>320</v>
      </c>
      <c r="G60" s="2" t="s">
        <v>291</v>
      </c>
      <c r="H60" s="2" t="s">
        <v>321</v>
      </c>
      <c r="I60" s="2" t="s">
        <v>154</v>
      </c>
      <c r="J60" s="2" t="s">
        <v>100</v>
      </c>
      <c r="K60" s="2" t="s">
        <v>39</v>
      </c>
      <c r="L60" s="2" t="s">
        <v>330</v>
      </c>
      <c r="M60" s="2" t="s">
        <v>35</v>
      </c>
      <c r="N60" s="2" t="s">
        <v>36</v>
      </c>
      <c r="O60" s="2" t="s">
        <v>347</v>
      </c>
      <c r="P60" s="2" t="s">
        <v>202</v>
      </c>
      <c r="Q60" s="2" t="s">
        <v>39</v>
      </c>
      <c r="R60" s="2" t="s">
        <v>52</v>
      </c>
      <c r="S60" s="2" t="s">
        <v>33</v>
      </c>
      <c r="T60" s="2" t="s">
        <v>33</v>
      </c>
      <c r="U60" s="2" t="s">
        <v>67</v>
      </c>
      <c r="V60" s="2" t="s">
        <v>42</v>
      </c>
      <c r="W60" s="2" t="n">
        <v>0</v>
      </c>
      <c r="X60" s="2" t="n">
        <v>2</v>
      </c>
      <c r="Y60" s="2" t="s">
        <v>33</v>
      </c>
    </row>
    <row r="61" customFormat="false" ht="22.35" hidden="false" customHeight="false" outlineLevel="0" collapsed="false">
      <c r="A61" s="2" t="n">
        <v>68</v>
      </c>
      <c r="B61" s="2" t="s">
        <v>348</v>
      </c>
      <c r="C61" s="2" t="s">
        <v>349</v>
      </c>
      <c r="D61" s="2" t="n">
        <v>2026</v>
      </c>
      <c r="E61" s="2" t="s">
        <v>350</v>
      </c>
      <c r="F61" s="2" t="s">
        <v>320</v>
      </c>
      <c r="G61" s="2" t="s">
        <v>29</v>
      </c>
      <c r="H61" s="2" t="s">
        <v>207</v>
      </c>
      <c r="I61" s="2" t="s">
        <v>154</v>
      </c>
      <c r="J61" s="2" t="s">
        <v>159</v>
      </c>
      <c r="K61" s="2" t="s">
        <v>33</v>
      </c>
      <c r="L61" s="2" t="s">
        <v>34</v>
      </c>
      <c r="M61" s="2" t="s">
        <v>49</v>
      </c>
      <c r="N61" s="2" t="s">
        <v>50</v>
      </c>
      <c r="O61" s="2" t="s">
        <v>351</v>
      </c>
      <c r="P61" s="2" t="s">
        <v>38</v>
      </c>
      <c r="Q61" s="2" t="s">
        <v>39</v>
      </c>
      <c r="R61" s="2" t="s">
        <v>52</v>
      </c>
      <c r="S61" s="2" t="s">
        <v>33</v>
      </c>
      <c r="T61" s="2" t="s">
        <v>33</v>
      </c>
      <c r="U61" s="2" t="s">
        <v>41</v>
      </c>
      <c r="V61" s="2" t="s">
        <v>54</v>
      </c>
      <c r="W61" s="2" t="n">
        <v>1</v>
      </c>
      <c r="X61" s="2" t="n">
        <v>2</v>
      </c>
      <c r="Y61" s="2" t="s">
        <v>33</v>
      </c>
    </row>
    <row r="62" customFormat="false" ht="15" hidden="false" customHeight="false" outlineLevel="0" collapsed="false">
      <c r="A62" s="2" t="n">
        <v>69</v>
      </c>
      <c r="B62" s="2" t="s">
        <v>352</v>
      </c>
      <c r="C62" s="2" t="s">
        <v>353</v>
      </c>
      <c r="D62" s="2" t="n">
        <v>2026</v>
      </c>
      <c r="E62" s="2" t="s">
        <v>354</v>
      </c>
      <c r="F62" s="2" t="s">
        <v>320</v>
      </c>
      <c r="G62" s="2" t="s">
        <v>184</v>
      </c>
      <c r="H62" s="2" t="s">
        <v>30</v>
      </c>
      <c r="I62" s="2" t="s">
        <v>31</v>
      </c>
      <c r="J62" s="2" t="s">
        <v>315</v>
      </c>
      <c r="K62" s="2" t="s">
        <v>33</v>
      </c>
      <c r="L62" s="2" t="s">
        <v>63</v>
      </c>
      <c r="M62" s="2" t="s">
        <v>35</v>
      </c>
      <c r="N62" s="2" t="s">
        <v>179</v>
      </c>
      <c r="O62" s="2" t="s">
        <v>355</v>
      </c>
      <c r="P62" s="2" t="s">
        <v>38</v>
      </c>
      <c r="Q62" s="2" t="s">
        <v>39</v>
      </c>
      <c r="R62" s="2" t="s">
        <v>40</v>
      </c>
      <c r="S62" s="2" t="s">
        <v>33</v>
      </c>
      <c r="T62" s="2" t="s">
        <v>33</v>
      </c>
      <c r="U62" s="2" t="s">
        <v>67</v>
      </c>
      <c r="V62" s="2" t="s">
        <v>42</v>
      </c>
      <c r="W62" s="2" t="n">
        <v>0</v>
      </c>
      <c r="X62" s="2" t="n">
        <v>4</v>
      </c>
      <c r="Y62" s="2" t="s">
        <v>33</v>
      </c>
    </row>
    <row r="63" customFormat="false" ht="22.35" hidden="false" customHeight="false" outlineLevel="0" collapsed="false">
      <c r="A63" s="2" t="n">
        <v>70</v>
      </c>
      <c r="B63" s="2" t="s">
        <v>356</v>
      </c>
      <c r="C63" s="2" t="s">
        <v>357</v>
      </c>
      <c r="D63" s="2" t="n">
        <v>2026</v>
      </c>
      <c r="E63" s="2" t="s">
        <v>358</v>
      </c>
      <c r="F63" s="2" t="s">
        <v>320</v>
      </c>
      <c r="G63" s="2" t="s">
        <v>359</v>
      </c>
      <c r="H63" s="2" t="s">
        <v>30</v>
      </c>
      <c r="I63" s="2" t="s">
        <v>31</v>
      </c>
      <c r="J63" s="2" t="s">
        <v>123</v>
      </c>
      <c r="K63" s="2" t="s">
        <v>33</v>
      </c>
      <c r="L63" s="2" t="s">
        <v>34</v>
      </c>
      <c r="M63" s="2" t="s">
        <v>49</v>
      </c>
      <c r="N63" s="2" t="s">
        <v>50</v>
      </c>
      <c r="O63" s="2" t="s">
        <v>360</v>
      </c>
      <c r="P63" s="2" t="s">
        <v>38</v>
      </c>
      <c r="Q63" s="2" t="s">
        <v>39</v>
      </c>
      <c r="R63" s="2" t="s">
        <v>81</v>
      </c>
      <c r="S63" s="2" t="s">
        <v>39</v>
      </c>
      <c r="T63" s="2" t="s">
        <v>39</v>
      </c>
      <c r="U63" s="2" t="s">
        <v>53</v>
      </c>
      <c r="V63" s="2" t="s">
        <v>42</v>
      </c>
      <c r="W63" s="2" t="n">
        <v>1</v>
      </c>
      <c r="X63" s="2" t="n">
        <v>2</v>
      </c>
      <c r="Y63" s="2" t="s">
        <v>33</v>
      </c>
    </row>
    <row r="64" customFormat="false" ht="22.35" hidden="false" customHeight="false" outlineLevel="0" collapsed="false">
      <c r="A64" s="2" t="n">
        <v>71</v>
      </c>
      <c r="B64" s="2" t="s">
        <v>361</v>
      </c>
      <c r="C64" s="2" t="s">
        <v>362</v>
      </c>
      <c r="D64" s="2" t="n">
        <v>2026</v>
      </c>
      <c r="E64" s="2" t="s">
        <v>363</v>
      </c>
      <c r="F64" s="2" t="s">
        <v>320</v>
      </c>
      <c r="G64" s="2" t="s">
        <v>364</v>
      </c>
      <c r="H64" s="2" t="s">
        <v>30</v>
      </c>
      <c r="I64" s="2" t="s">
        <v>31</v>
      </c>
      <c r="J64" s="2" t="s">
        <v>159</v>
      </c>
      <c r="K64" s="2" t="s">
        <v>33</v>
      </c>
      <c r="L64" s="2" t="s">
        <v>34</v>
      </c>
      <c r="M64" s="2" t="s">
        <v>222</v>
      </c>
      <c r="N64" s="2" t="s">
        <v>50</v>
      </c>
      <c r="O64" s="2" t="s">
        <v>365</v>
      </c>
      <c r="P64" s="2" t="s">
        <v>38</v>
      </c>
      <c r="Q64" s="2" t="s">
        <v>39</v>
      </c>
      <c r="R64" s="2" t="s">
        <v>52</v>
      </c>
      <c r="S64" s="2" t="s">
        <v>33</v>
      </c>
      <c r="T64" s="2" t="s">
        <v>33</v>
      </c>
      <c r="U64" s="2" t="s">
        <v>67</v>
      </c>
      <c r="V64" s="2" t="s">
        <v>68</v>
      </c>
      <c r="W64" s="2" t="n">
        <v>0</v>
      </c>
      <c r="X64" s="2" t="n">
        <v>1</v>
      </c>
      <c r="Y64" s="2" t="s">
        <v>33</v>
      </c>
    </row>
    <row r="65" customFormat="false" ht="22.35" hidden="false" customHeight="false" outlineLevel="0" collapsed="false">
      <c r="A65" s="2" t="n">
        <v>72</v>
      </c>
      <c r="B65" s="2" t="s">
        <v>366</v>
      </c>
      <c r="C65" s="2" t="s">
        <v>367</v>
      </c>
      <c r="D65" s="2" t="n">
        <v>2026</v>
      </c>
      <c r="E65" s="2" t="s">
        <v>368</v>
      </c>
      <c r="F65" s="2" t="s">
        <v>320</v>
      </c>
      <c r="G65" s="2" t="s">
        <v>99</v>
      </c>
      <c r="H65" s="2" t="s">
        <v>73</v>
      </c>
      <c r="I65" s="2" t="s">
        <v>73</v>
      </c>
      <c r="J65" s="2" t="s">
        <v>100</v>
      </c>
      <c r="K65" s="2" t="s">
        <v>39</v>
      </c>
      <c r="L65" s="2" t="s">
        <v>34</v>
      </c>
      <c r="M65" s="2" t="s">
        <v>49</v>
      </c>
      <c r="N65" s="2" t="s">
        <v>50</v>
      </c>
      <c r="O65" s="2" t="s">
        <v>369</v>
      </c>
      <c r="P65" s="2" t="s">
        <v>38</v>
      </c>
      <c r="Q65" s="2" t="s">
        <v>39</v>
      </c>
      <c r="R65" s="2" t="s">
        <v>40</v>
      </c>
      <c r="S65" s="2" t="s">
        <v>33</v>
      </c>
      <c r="T65" s="2" t="s">
        <v>33</v>
      </c>
      <c r="U65" s="2" t="s">
        <v>41</v>
      </c>
      <c r="V65" s="2" t="s">
        <v>68</v>
      </c>
      <c r="W65" s="2" t="n">
        <v>0</v>
      </c>
      <c r="X65" s="2" t="n">
        <v>1</v>
      </c>
      <c r="Y65" s="2" t="s">
        <v>33</v>
      </c>
    </row>
    <row r="66" customFormat="false" ht="22.35" hidden="false" customHeight="false" outlineLevel="0" collapsed="false">
      <c r="A66" s="2" t="n">
        <v>73</v>
      </c>
      <c r="B66" s="2" t="s">
        <v>370</v>
      </c>
      <c r="C66" s="2" t="s">
        <v>371</v>
      </c>
      <c r="D66" s="2" t="n">
        <v>2026</v>
      </c>
      <c r="E66" s="2" t="s">
        <v>372</v>
      </c>
      <c r="F66" s="2" t="s">
        <v>320</v>
      </c>
      <c r="G66" s="2" t="s">
        <v>99</v>
      </c>
      <c r="H66" s="2" t="s">
        <v>153</v>
      </c>
      <c r="I66" s="2" t="s">
        <v>31</v>
      </c>
      <c r="J66" s="2" t="s">
        <v>48</v>
      </c>
      <c r="K66" s="2" t="s">
        <v>33</v>
      </c>
      <c r="L66" s="2" t="s">
        <v>34</v>
      </c>
      <c r="M66" s="2" t="s">
        <v>49</v>
      </c>
      <c r="N66" s="2" t="s">
        <v>50</v>
      </c>
      <c r="O66" s="2" t="s">
        <v>185</v>
      </c>
      <c r="P66" s="2" t="s">
        <v>38</v>
      </c>
      <c r="Q66" s="2" t="s">
        <v>39</v>
      </c>
      <c r="R66" s="2" t="s">
        <v>40</v>
      </c>
      <c r="S66" s="2" t="s">
        <v>33</v>
      </c>
      <c r="T66" s="2" t="s">
        <v>33</v>
      </c>
      <c r="U66" s="2" t="s">
        <v>67</v>
      </c>
      <c r="V66" s="2" t="s">
        <v>68</v>
      </c>
      <c r="W66" s="2" t="n">
        <v>0</v>
      </c>
      <c r="X66" s="2" t="n">
        <v>1</v>
      </c>
      <c r="Y66" s="2" t="s">
        <v>33</v>
      </c>
    </row>
    <row r="67" customFormat="false" ht="22.35" hidden="false" customHeight="false" outlineLevel="0" collapsed="false">
      <c r="A67" s="2" t="n">
        <v>74</v>
      </c>
      <c r="B67" s="2" t="s">
        <v>373</v>
      </c>
      <c r="C67" s="2" t="s">
        <v>374</v>
      </c>
      <c r="D67" s="2" t="n">
        <v>2026</v>
      </c>
      <c r="E67" s="2" t="s">
        <v>375</v>
      </c>
      <c r="F67" s="2" t="s">
        <v>320</v>
      </c>
      <c r="G67" s="2" t="s">
        <v>29</v>
      </c>
      <c r="H67" s="2" t="s">
        <v>30</v>
      </c>
      <c r="I67" s="2" t="s">
        <v>31</v>
      </c>
      <c r="J67" s="2" t="s">
        <v>159</v>
      </c>
      <c r="K67" s="2" t="s">
        <v>33</v>
      </c>
      <c r="L67" s="2" t="s">
        <v>34</v>
      </c>
      <c r="M67" s="2" t="s">
        <v>49</v>
      </c>
      <c r="N67" s="2" t="s">
        <v>50</v>
      </c>
      <c r="O67" s="2" t="s">
        <v>185</v>
      </c>
      <c r="P67" s="2" t="s">
        <v>38</v>
      </c>
      <c r="Q67" s="2" t="s">
        <v>39</v>
      </c>
      <c r="R67" s="2" t="s">
        <v>40</v>
      </c>
      <c r="S67" s="2" t="s">
        <v>33</v>
      </c>
      <c r="T67" s="2" t="s">
        <v>39</v>
      </c>
      <c r="U67" s="2" t="s">
        <v>41</v>
      </c>
      <c r="V67" s="2" t="s">
        <v>42</v>
      </c>
      <c r="W67" s="2" t="n">
        <v>1</v>
      </c>
      <c r="X67" s="2" t="n">
        <v>2</v>
      </c>
      <c r="Y67" s="2" t="s">
        <v>33</v>
      </c>
    </row>
    <row r="68" customFormat="false" ht="22.35" hidden="false" customHeight="false" outlineLevel="0" collapsed="false">
      <c r="A68" s="2" t="n">
        <v>75</v>
      </c>
      <c r="B68" s="2" t="s">
        <v>376</v>
      </c>
      <c r="C68" s="2" t="s">
        <v>377</v>
      </c>
      <c r="D68" s="2" t="n">
        <v>2026</v>
      </c>
      <c r="E68" s="2" t="s">
        <v>378</v>
      </c>
      <c r="F68" s="2" t="s">
        <v>320</v>
      </c>
      <c r="G68" s="2" t="s">
        <v>29</v>
      </c>
      <c r="H68" s="2" t="s">
        <v>30</v>
      </c>
      <c r="I68" s="2" t="s">
        <v>31</v>
      </c>
      <c r="J68" s="2" t="s">
        <v>32</v>
      </c>
      <c r="K68" s="2" t="s">
        <v>33</v>
      </c>
      <c r="L68" s="2" t="s">
        <v>110</v>
      </c>
      <c r="M68" s="2" t="s">
        <v>49</v>
      </c>
      <c r="N68" s="2" t="s">
        <v>50</v>
      </c>
      <c r="O68" s="2" t="s">
        <v>379</v>
      </c>
      <c r="P68" s="2" t="s">
        <v>38</v>
      </c>
      <c r="Q68" s="2" t="s">
        <v>39</v>
      </c>
      <c r="R68" s="2" t="s">
        <v>81</v>
      </c>
      <c r="S68" s="2" t="s">
        <v>39</v>
      </c>
      <c r="T68" s="2" t="s">
        <v>39</v>
      </c>
      <c r="U68" s="2" t="s">
        <v>67</v>
      </c>
      <c r="V68" s="2" t="s">
        <v>42</v>
      </c>
      <c r="W68" s="2" t="n">
        <v>2</v>
      </c>
      <c r="X68" s="2" t="n">
        <v>4</v>
      </c>
      <c r="Y68" s="2" t="s">
        <v>33</v>
      </c>
    </row>
    <row r="69" customFormat="false" ht="22.35" hidden="false" customHeight="false" outlineLevel="0" collapsed="false">
      <c r="A69" s="2" t="n">
        <v>76</v>
      </c>
      <c r="B69" s="2" t="s">
        <v>380</v>
      </c>
      <c r="C69" s="2" t="s">
        <v>381</v>
      </c>
      <c r="D69" s="2" t="n">
        <v>2022</v>
      </c>
      <c r="E69" s="2" t="s">
        <v>382</v>
      </c>
      <c r="F69" s="2" t="s">
        <v>383</v>
      </c>
      <c r="G69" s="2" t="s">
        <v>99</v>
      </c>
      <c r="H69" s="2" t="s">
        <v>30</v>
      </c>
      <c r="I69" s="2" t="s">
        <v>31</v>
      </c>
      <c r="J69" s="2" t="s">
        <v>32</v>
      </c>
      <c r="K69" s="2" t="s">
        <v>33</v>
      </c>
      <c r="L69" s="2" t="s">
        <v>63</v>
      </c>
      <c r="M69" s="2" t="s">
        <v>35</v>
      </c>
      <c r="N69" s="2" t="s">
        <v>179</v>
      </c>
      <c r="O69" s="2" t="s">
        <v>384</v>
      </c>
      <c r="P69" s="2" t="s">
        <v>38</v>
      </c>
      <c r="Q69" s="2" t="s">
        <v>33</v>
      </c>
      <c r="R69" s="2" t="s">
        <v>53</v>
      </c>
      <c r="S69" s="2" t="s">
        <v>33</v>
      </c>
      <c r="T69" s="2" t="s">
        <v>33</v>
      </c>
      <c r="U69" s="2" t="s">
        <v>67</v>
      </c>
      <c r="V69" s="2" t="s">
        <v>42</v>
      </c>
      <c r="W69" s="2" t="n">
        <v>0</v>
      </c>
      <c r="X69" s="2" t="n">
        <v>3</v>
      </c>
      <c r="Y69" s="2" t="s">
        <v>33</v>
      </c>
    </row>
    <row r="70" customFormat="false" ht="22.35" hidden="false" customHeight="false" outlineLevel="0" collapsed="false">
      <c r="A70" s="2" t="n">
        <v>77</v>
      </c>
      <c r="B70" s="2" t="s">
        <v>385</v>
      </c>
      <c r="C70" s="2" t="s">
        <v>386</v>
      </c>
      <c r="D70" s="2" t="n">
        <v>2025</v>
      </c>
      <c r="E70" s="2" t="s">
        <v>387</v>
      </c>
      <c r="F70" s="2" t="s">
        <v>388</v>
      </c>
      <c r="G70" s="2" t="s">
        <v>29</v>
      </c>
      <c r="H70" s="2" t="s">
        <v>30</v>
      </c>
      <c r="I70" s="2" t="s">
        <v>31</v>
      </c>
      <c r="J70" s="2" t="s">
        <v>159</v>
      </c>
      <c r="K70" s="2" t="s">
        <v>33</v>
      </c>
      <c r="L70" s="2" t="s">
        <v>34</v>
      </c>
      <c r="M70" s="2" t="s">
        <v>35</v>
      </c>
      <c r="N70" s="2" t="s">
        <v>179</v>
      </c>
      <c r="O70" s="2" t="s">
        <v>185</v>
      </c>
      <c r="P70" s="2" t="s">
        <v>38</v>
      </c>
      <c r="Q70" s="2" t="s">
        <v>39</v>
      </c>
      <c r="R70" s="2" t="s">
        <v>40</v>
      </c>
      <c r="S70" s="2" t="s">
        <v>33</v>
      </c>
      <c r="T70" s="2" t="s">
        <v>33</v>
      </c>
      <c r="U70" s="2" t="s">
        <v>41</v>
      </c>
      <c r="V70" s="2" t="s">
        <v>42</v>
      </c>
      <c r="W70" s="2" t="n">
        <v>0</v>
      </c>
      <c r="X70" s="2" t="n">
        <v>2</v>
      </c>
      <c r="Y70" s="2" t="s">
        <v>33</v>
      </c>
    </row>
    <row r="71" customFormat="false" ht="22.35" hidden="false" customHeight="false" outlineLevel="0" collapsed="false">
      <c r="A71" s="2" t="n">
        <v>78</v>
      </c>
      <c r="B71" s="2" t="s">
        <v>389</v>
      </c>
      <c r="C71" s="2" t="s">
        <v>390</v>
      </c>
      <c r="D71" s="2" t="n">
        <v>2026</v>
      </c>
      <c r="E71" s="2" t="s">
        <v>391</v>
      </c>
      <c r="F71" s="2" t="s">
        <v>392</v>
      </c>
      <c r="G71" s="2" t="s">
        <v>29</v>
      </c>
      <c r="H71" s="2" t="s">
        <v>30</v>
      </c>
      <c r="I71" s="2" t="s">
        <v>31</v>
      </c>
      <c r="J71" s="2" t="s">
        <v>32</v>
      </c>
      <c r="K71" s="2" t="s">
        <v>33</v>
      </c>
      <c r="L71" s="2" t="s">
        <v>34</v>
      </c>
      <c r="M71" s="2" t="s">
        <v>49</v>
      </c>
      <c r="N71" s="2" t="s">
        <v>50</v>
      </c>
      <c r="O71" s="2" t="s">
        <v>118</v>
      </c>
      <c r="P71" s="2" t="s">
        <v>38</v>
      </c>
      <c r="Q71" s="2" t="s">
        <v>39</v>
      </c>
      <c r="R71" s="2" t="s">
        <v>81</v>
      </c>
      <c r="S71" s="2" t="s">
        <v>39</v>
      </c>
      <c r="T71" s="2" t="s">
        <v>33</v>
      </c>
      <c r="U71" s="2" t="s">
        <v>41</v>
      </c>
      <c r="V71" s="2" t="s">
        <v>54</v>
      </c>
      <c r="W71" s="2" t="n">
        <v>0</v>
      </c>
      <c r="X71" s="2" t="n">
        <v>0</v>
      </c>
      <c r="Y71" s="2" t="s">
        <v>33</v>
      </c>
    </row>
    <row r="72" customFormat="false" ht="22.35" hidden="false" customHeight="false" outlineLevel="0" collapsed="false">
      <c r="A72" s="2" t="n">
        <v>79</v>
      </c>
      <c r="B72" s="2" t="s">
        <v>393</v>
      </c>
      <c r="C72" s="2" t="s">
        <v>394</v>
      </c>
      <c r="D72" s="2" t="n">
        <v>2025</v>
      </c>
      <c r="E72" s="2" t="s">
        <v>395</v>
      </c>
      <c r="F72" s="2" t="s">
        <v>396</v>
      </c>
      <c r="G72" s="2" t="s">
        <v>29</v>
      </c>
      <c r="H72" s="2" t="s">
        <v>30</v>
      </c>
      <c r="I72" s="2" t="s">
        <v>31</v>
      </c>
      <c r="J72" s="2" t="s">
        <v>79</v>
      </c>
      <c r="K72" s="2" t="s">
        <v>39</v>
      </c>
      <c r="L72" s="2" t="s">
        <v>117</v>
      </c>
      <c r="M72" s="2" t="s">
        <v>49</v>
      </c>
      <c r="N72" s="2" t="s">
        <v>50</v>
      </c>
      <c r="O72" s="2" t="s">
        <v>397</v>
      </c>
      <c r="P72" s="2" t="s">
        <v>38</v>
      </c>
      <c r="Q72" s="2" t="s">
        <v>39</v>
      </c>
      <c r="R72" s="2" t="s">
        <v>40</v>
      </c>
      <c r="S72" s="2" t="s">
        <v>39</v>
      </c>
      <c r="T72" s="2" t="s">
        <v>33</v>
      </c>
      <c r="U72" s="2" t="s">
        <v>67</v>
      </c>
      <c r="V72" s="2" t="s">
        <v>42</v>
      </c>
      <c r="W72" s="2" t="n">
        <v>0</v>
      </c>
      <c r="X72" s="2" t="n">
        <v>3</v>
      </c>
      <c r="Y72" s="2" t="s">
        <v>33</v>
      </c>
    </row>
    <row r="73" customFormat="false" ht="22.35" hidden="false" customHeight="false" outlineLevel="0" collapsed="false">
      <c r="A73" s="2" t="n">
        <v>80</v>
      </c>
      <c r="B73" s="2" t="s">
        <v>398</v>
      </c>
      <c r="C73" s="2" t="s">
        <v>399</v>
      </c>
      <c r="D73" s="2" t="n">
        <v>2023</v>
      </c>
      <c r="E73" s="2" t="s">
        <v>400</v>
      </c>
      <c r="F73" s="2" t="s">
        <v>401</v>
      </c>
      <c r="G73" s="2" t="s">
        <v>184</v>
      </c>
      <c r="H73" s="2" t="s">
        <v>30</v>
      </c>
      <c r="I73" s="2" t="s">
        <v>31</v>
      </c>
      <c r="J73" s="2" t="s">
        <v>100</v>
      </c>
      <c r="K73" s="2" t="s">
        <v>39</v>
      </c>
      <c r="L73" s="2" t="s">
        <v>34</v>
      </c>
      <c r="M73" s="2" t="s">
        <v>49</v>
      </c>
      <c r="N73" s="2" t="s">
        <v>50</v>
      </c>
      <c r="O73" s="2" t="s">
        <v>402</v>
      </c>
      <c r="P73" s="2" t="s">
        <v>38</v>
      </c>
      <c r="Q73" s="2" t="s">
        <v>33</v>
      </c>
      <c r="R73" s="2" t="s">
        <v>53</v>
      </c>
      <c r="S73" s="2" t="s">
        <v>33</v>
      </c>
      <c r="T73" s="2" t="s">
        <v>33</v>
      </c>
      <c r="U73" s="2" t="s">
        <v>53</v>
      </c>
      <c r="V73" s="2" t="s">
        <v>42</v>
      </c>
      <c r="W73" s="2" t="n">
        <v>0</v>
      </c>
      <c r="X73" s="2" t="n">
        <v>2</v>
      </c>
      <c r="Y73" s="2" t="s">
        <v>33</v>
      </c>
    </row>
    <row r="74" customFormat="false" ht="22.35" hidden="false" customHeight="false" outlineLevel="0" collapsed="false">
      <c r="A74" s="2" t="n">
        <v>81</v>
      </c>
      <c r="B74" s="2" t="s">
        <v>403</v>
      </c>
      <c r="C74" s="2" t="s">
        <v>404</v>
      </c>
      <c r="D74" s="2" t="n">
        <v>2026</v>
      </c>
      <c r="E74" s="2" t="s">
        <v>405</v>
      </c>
      <c r="F74" s="2" t="s">
        <v>401</v>
      </c>
      <c r="G74" s="2" t="s">
        <v>184</v>
      </c>
      <c r="H74" s="2" t="s">
        <v>73</v>
      </c>
      <c r="I74" s="2" t="s">
        <v>73</v>
      </c>
      <c r="J74" s="2" t="s">
        <v>123</v>
      </c>
      <c r="K74" s="2" t="s">
        <v>33</v>
      </c>
      <c r="L74" s="2" t="s">
        <v>34</v>
      </c>
      <c r="M74" s="2" t="s">
        <v>49</v>
      </c>
      <c r="N74" s="2" t="s">
        <v>50</v>
      </c>
      <c r="O74" s="2" t="s">
        <v>406</v>
      </c>
      <c r="P74" s="2" t="s">
        <v>38</v>
      </c>
      <c r="Q74" s="2" t="s">
        <v>39</v>
      </c>
      <c r="R74" s="2" t="s">
        <v>40</v>
      </c>
      <c r="S74" s="2" t="s">
        <v>33</v>
      </c>
      <c r="T74" s="2" t="s">
        <v>33</v>
      </c>
      <c r="U74" s="2" t="s">
        <v>67</v>
      </c>
      <c r="V74" s="2" t="s">
        <v>42</v>
      </c>
      <c r="W74" s="2" t="n">
        <v>0</v>
      </c>
      <c r="X74" s="2" t="n">
        <v>1</v>
      </c>
      <c r="Y74" s="2" t="s">
        <v>33</v>
      </c>
    </row>
    <row r="75" customFormat="false" ht="22.35" hidden="false" customHeight="false" outlineLevel="0" collapsed="false">
      <c r="A75" s="2" t="n">
        <v>82</v>
      </c>
      <c r="B75" s="2" t="s">
        <v>407</v>
      </c>
      <c r="C75" s="2" t="s">
        <v>408</v>
      </c>
      <c r="D75" s="2" t="n">
        <v>2023</v>
      </c>
      <c r="E75" s="2" t="s">
        <v>409</v>
      </c>
      <c r="F75" s="2" t="s">
        <v>410</v>
      </c>
      <c r="G75" s="2" t="s">
        <v>99</v>
      </c>
      <c r="H75" s="2" t="s">
        <v>30</v>
      </c>
      <c r="I75" s="2" t="s">
        <v>31</v>
      </c>
      <c r="J75" s="2" t="s">
        <v>315</v>
      </c>
      <c r="K75" s="2" t="s">
        <v>39</v>
      </c>
      <c r="L75" s="2" t="s">
        <v>63</v>
      </c>
      <c r="M75" s="2" t="s">
        <v>49</v>
      </c>
      <c r="N75" s="2" t="s">
        <v>50</v>
      </c>
      <c r="O75" s="2" t="s">
        <v>411</v>
      </c>
      <c r="P75" s="2" t="s">
        <v>38</v>
      </c>
      <c r="Q75" s="2" t="s">
        <v>33</v>
      </c>
      <c r="R75" s="2" t="s">
        <v>53</v>
      </c>
      <c r="S75" s="2" t="s">
        <v>33</v>
      </c>
      <c r="T75" s="2" t="s">
        <v>33</v>
      </c>
      <c r="U75" s="2" t="s">
        <v>53</v>
      </c>
      <c r="V75" s="2" t="s">
        <v>42</v>
      </c>
      <c r="W75" s="2" t="n">
        <v>0</v>
      </c>
      <c r="X75" s="2" t="n">
        <v>2</v>
      </c>
      <c r="Y75" s="2" t="s">
        <v>33</v>
      </c>
    </row>
    <row r="76" customFormat="false" ht="22.35" hidden="false" customHeight="false" outlineLevel="0" collapsed="false">
      <c r="A76" s="2" t="n">
        <v>83</v>
      </c>
      <c r="B76" s="2" t="s">
        <v>412</v>
      </c>
      <c r="C76" s="2" t="s">
        <v>413</v>
      </c>
      <c r="D76" s="2" t="n">
        <v>2024</v>
      </c>
      <c r="E76" s="2" t="s">
        <v>414</v>
      </c>
      <c r="F76" s="2" t="s">
        <v>410</v>
      </c>
      <c r="G76" s="2" t="s">
        <v>415</v>
      </c>
      <c r="H76" s="2" t="s">
        <v>30</v>
      </c>
      <c r="I76" s="2" t="s">
        <v>31</v>
      </c>
      <c r="J76" s="2" t="s">
        <v>315</v>
      </c>
      <c r="K76" s="2" t="s">
        <v>33</v>
      </c>
      <c r="L76" s="2" t="s">
        <v>34</v>
      </c>
      <c r="M76" s="2" t="s">
        <v>49</v>
      </c>
      <c r="N76" s="2" t="s">
        <v>50</v>
      </c>
      <c r="O76" s="2" t="s">
        <v>327</v>
      </c>
      <c r="P76" s="2" t="s">
        <v>38</v>
      </c>
      <c r="Q76" s="2" t="s">
        <v>39</v>
      </c>
      <c r="R76" s="2" t="s">
        <v>40</v>
      </c>
      <c r="S76" s="2" t="s">
        <v>33</v>
      </c>
      <c r="T76" s="2" t="s">
        <v>33</v>
      </c>
      <c r="U76" s="2" t="s">
        <v>53</v>
      </c>
      <c r="V76" s="2" t="s">
        <v>42</v>
      </c>
      <c r="W76" s="2" t="n">
        <v>0</v>
      </c>
      <c r="X76" s="2" t="n">
        <v>1</v>
      </c>
      <c r="Y76" s="2" t="s">
        <v>33</v>
      </c>
    </row>
    <row r="77" customFormat="false" ht="22.35" hidden="false" customHeight="false" outlineLevel="0" collapsed="false">
      <c r="A77" s="2" t="n">
        <v>84</v>
      </c>
      <c r="B77" s="2" t="s">
        <v>416</v>
      </c>
      <c r="C77" s="2" t="s">
        <v>399</v>
      </c>
      <c r="D77" s="2" t="n">
        <v>2024</v>
      </c>
      <c r="E77" s="2" t="s">
        <v>417</v>
      </c>
      <c r="F77" s="2" t="s">
        <v>410</v>
      </c>
      <c r="G77" s="2" t="s">
        <v>184</v>
      </c>
      <c r="H77" s="2" t="s">
        <v>30</v>
      </c>
      <c r="I77" s="2" t="s">
        <v>31</v>
      </c>
      <c r="J77" s="2" t="s">
        <v>217</v>
      </c>
      <c r="K77" s="2" t="s">
        <v>33</v>
      </c>
      <c r="L77" s="2" t="s">
        <v>63</v>
      </c>
      <c r="M77" s="2" t="s">
        <v>49</v>
      </c>
      <c r="N77" s="2" t="s">
        <v>50</v>
      </c>
      <c r="O77" s="2" t="s">
        <v>418</v>
      </c>
      <c r="P77" s="2" t="s">
        <v>202</v>
      </c>
      <c r="Q77" s="2" t="s">
        <v>39</v>
      </c>
      <c r="R77" s="2" t="s">
        <v>52</v>
      </c>
      <c r="S77" s="2" t="s">
        <v>33</v>
      </c>
      <c r="T77" s="2" t="s">
        <v>33</v>
      </c>
      <c r="U77" s="2" t="s">
        <v>41</v>
      </c>
      <c r="V77" s="2" t="s">
        <v>42</v>
      </c>
      <c r="W77" s="2" t="n">
        <v>0</v>
      </c>
      <c r="X77" s="2" t="n">
        <v>2</v>
      </c>
      <c r="Y77" s="2" t="s">
        <v>33</v>
      </c>
    </row>
    <row r="78" customFormat="false" ht="22.35" hidden="false" customHeight="false" outlineLevel="0" collapsed="false">
      <c r="A78" s="2" t="n">
        <v>85</v>
      </c>
      <c r="B78" s="2" t="s">
        <v>419</v>
      </c>
      <c r="C78" s="2" t="s">
        <v>420</v>
      </c>
      <c r="D78" s="2" t="n">
        <v>2025</v>
      </c>
      <c r="E78" s="2" t="s">
        <v>421</v>
      </c>
      <c r="F78" s="2" t="s">
        <v>410</v>
      </c>
      <c r="G78" s="2" t="s">
        <v>199</v>
      </c>
      <c r="H78" s="2" t="s">
        <v>422</v>
      </c>
      <c r="I78" s="2" t="s">
        <v>154</v>
      </c>
      <c r="J78" s="2" t="s">
        <v>79</v>
      </c>
      <c r="K78" s="2" t="s">
        <v>39</v>
      </c>
      <c r="L78" s="2" t="s">
        <v>34</v>
      </c>
      <c r="M78" s="2" t="s">
        <v>49</v>
      </c>
      <c r="N78" s="2" t="s">
        <v>50</v>
      </c>
      <c r="O78" s="2" t="s">
        <v>327</v>
      </c>
      <c r="P78" s="2" t="s">
        <v>66</v>
      </c>
      <c r="Q78" s="2" t="s">
        <v>39</v>
      </c>
      <c r="R78" s="2" t="s">
        <v>40</v>
      </c>
      <c r="S78" s="2" t="s">
        <v>33</v>
      </c>
      <c r="T78" s="2" t="s">
        <v>33</v>
      </c>
      <c r="U78" s="2" t="s">
        <v>53</v>
      </c>
      <c r="V78" s="2" t="s">
        <v>42</v>
      </c>
      <c r="W78" s="2" t="n">
        <v>0</v>
      </c>
      <c r="X78" s="2" t="n">
        <v>2</v>
      </c>
      <c r="Y78" s="2" t="s">
        <v>33</v>
      </c>
    </row>
    <row r="79" customFormat="false" ht="22.35" hidden="false" customHeight="false" outlineLevel="0" collapsed="false">
      <c r="A79" s="2" t="n">
        <v>86</v>
      </c>
      <c r="B79" s="2" t="s">
        <v>423</v>
      </c>
      <c r="C79" s="2" t="s">
        <v>424</v>
      </c>
      <c r="D79" s="2" t="n">
        <v>2022</v>
      </c>
      <c r="E79" s="2" t="s">
        <v>425</v>
      </c>
      <c r="F79" s="2" t="s">
        <v>426</v>
      </c>
      <c r="G79" s="2" t="s">
        <v>189</v>
      </c>
      <c r="H79" s="2" t="s">
        <v>30</v>
      </c>
      <c r="I79" s="2" t="s">
        <v>31</v>
      </c>
      <c r="J79" s="2" t="s">
        <v>79</v>
      </c>
      <c r="K79" s="2" t="s">
        <v>39</v>
      </c>
      <c r="L79" s="2" t="s">
        <v>34</v>
      </c>
      <c r="M79" s="2" t="s">
        <v>49</v>
      </c>
      <c r="N79" s="2" t="s">
        <v>50</v>
      </c>
      <c r="O79" s="2" t="s">
        <v>427</v>
      </c>
      <c r="P79" s="2" t="s">
        <v>38</v>
      </c>
      <c r="Q79" s="2" t="s">
        <v>39</v>
      </c>
      <c r="R79" s="2" t="s">
        <v>40</v>
      </c>
      <c r="S79" s="2" t="s">
        <v>33</v>
      </c>
      <c r="T79" s="2" t="s">
        <v>33</v>
      </c>
      <c r="U79" s="2" t="s">
        <v>41</v>
      </c>
      <c r="V79" s="2" t="s">
        <v>42</v>
      </c>
      <c r="W79" s="2" t="n">
        <v>0</v>
      </c>
      <c r="X79" s="2" t="n">
        <v>2</v>
      </c>
      <c r="Y79" s="2" t="s">
        <v>33</v>
      </c>
    </row>
    <row r="80" customFormat="false" ht="22.35" hidden="false" customHeight="false" outlineLevel="0" collapsed="false">
      <c r="A80" s="2" t="n">
        <v>87</v>
      </c>
      <c r="B80" s="2" t="s">
        <v>428</v>
      </c>
      <c r="C80" s="2" t="s">
        <v>429</v>
      </c>
      <c r="D80" s="2" t="n">
        <v>2024</v>
      </c>
      <c r="E80" s="2" t="s">
        <v>430</v>
      </c>
      <c r="F80" s="2" t="s">
        <v>431</v>
      </c>
      <c r="G80" s="2" t="s">
        <v>364</v>
      </c>
      <c r="H80" s="2" t="s">
        <v>30</v>
      </c>
      <c r="I80" s="2" t="s">
        <v>31</v>
      </c>
      <c r="J80" s="2" t="s">
        <v>315</v>
      </c>
      <c r="K80" s="2" t="s">
        <v>39</v>
      </c>
      <c r="L80" s="2" t="s">
        <v>110</v>
      </c>
      <c r="M80" s="2" t="s">
        <v>49</v>
      </c>
      <c r="N80" s="2" t="s">
        <v>50</v>
      </c>
      <c r="O80" s="2" t="s">
        <v>432</v>
      </c>
      <c r="P80" s="2" t="s">
        <v>38</v>
      </c>
      <c r="Q80" s="2" t="s">
        <v>39</v>
      </c>
      <c r="R80" s="2" t="s">
        <v>40</v>
      </c>
      <c r="S80" s="2" t="s">
        <v>33</v>
      </c>
      <c r="T80" s="2" t="s">
        <v>33</v>
      </c>
      <c r="U80" s="2" t="s">
        <v>41</v>
      </c>
      <c r="V80" s="2" t="s">
        <v>42</v>
      </c>
      <c r="W80" s="2" t="n">
        <v>0</v>
      </c>
      <c r="X80" s="2" t="n">
        <v>1</v>
      </c>
      <c r="Y80" s="2" t="s">
        <v>33</v>
      </c>
    </row>
    <row r="81" customFormat="false" ht="22.35" hidden="false" customHeight="false" outlineLevel="0" collapsed="false">
      <c r="A81" s="2" t="n">
        <v>88</v>
      </c>
      <c r="B81" s="2" t="s">
        <v>433</v>
      </c>
      <c r="C81" s="2" t="s">
        <v>434</v>
      </c>
      <c r="D81" s="2" t="n">
        <v>2024</v>
      </c>
      <c r="E81" s="2" t="s">
        <v>435</v>
      </c>
      <c r="F81" s="2" t="s">
        <v>436</v>
      </c>
      <c r="G81" s="2" t="s">
        <v>189</v>
      </c>
      <c r="H81" s="2" t="s">
        <v>30</v>
      </c>
      <c r="I81" s="2" t="s">
        <v>31</v>
      </c>
      <c r="J81" s="2" t="s">
        <v>32</v>
      </c>
      <c r="K81" s="2" t="s">
        <v>33</v>
      </c>
      <c r="L81" s="2" t="s">
        <v>34</v>
      </c>
      <c r="M81" s="2" t="s">
        <v>49</v>
      </c>
      <c r="N81" s="2" t="s">
        <v>50</v>
      </c>
      <c r="O81" s="2" t="s">
        <v>437</v>
      </c>
      <c r="P81" s="2" t="s">
        <v>38</v>
      </c>
      <c r="Q81" s="2" t="s">
        <v>39</v>
      </c>
      <c r="R81" s="2" t="s">
        <v>52</v>
      </c>
      <c r="S81" s="2" t="s">
        <v>33</v>
      </c>
      <c r="T81" s="2" t="s">
        <v>33</v>
      </c>
      <c r="U81" s="2" t="s">
        <v>53</v>
      </c>
      <c r="V81" s="2" t="s">
        <v>42</v>
      </c>
      <c r="W81" s="2" t="n">
        <v>0</v>
      </c>
      <c r="X81" s="2" t="n">
        <v>2</v>
      </c>
      <c r="Y81" s="2" t="s">
        <v>33</v>
      </c>
    </row>
    <row r="82" customFormat="false" ht="22.35" hidden="false" customHeight="false" outlineLevel="0" collapsed="false">
      <c r="A82" s="2" t="n">
        <v>89</v>
      </c>
      <c r="B82" s="2" t="s">
        <v>438</v>
      </c>
      <c r="C82" s="2" t="s">
        <v>439</v>
      </c>
      <c r="D82" s="2" t="n">
        <v>2024</v>
      </c>
      <c r="E82" s="2" t="s">
        <v>440</v>
      </c>
      <c r="F82" s="2" t="s">
        <v>436</v>
      </c>
      <c r="G82" s="2" t="s">
        <v>29</v>
      </c>
      <c r="H82" s="2" t="s">
        <v>30</v>
      </c>
      <c r="I82" s="2" t="s">
        <v>31</v>
      </c>
      <c r="J82" s="2" t="s">
        <v>123</v>
      </c>
      <c r="K82" s="2" t="s">
        <v>33</v>
      </c>
      <c r="L82" s="2" t="s">
        <v>34</v>
      </c>
      <c r="M82" s="2" t="s">
        <v>49</v>
      </c>
      <c r="N82" s="2" t="s">
        <v>50</v>
      </c>
      <c r="O82" s="2" t="s">
        <v>441</v>
      </c>
      <c r="P82" s="2" t="s">
        <v>38</v>
      </c>
      <c r="Q82" s="2" t="s">
        <v>39</v>
      </c>
      <c r="R82" s="2" t="s">
        <v>52</v>
      </c>
      <c r="S82" s="2" t="s">
        <v>33</v>
      </c>
      <c r="T82" s="2" t="s">
        <v>33</v>
      </c>
      <c r="U82" s="2" t="s">
        <v>53</v>
      </c>
      <c r="V82" s="2" t="s">
        <v>42</v>
      </c>
      <c r="W82" s="2" t="n">
        <v>0</v>
      </c>
      <c r="X82" s="2" t="n">
        <v>1</v>
      </c>
      <c r="Y82" s="2" t="s">
        <v>33</v>
      </c>
    </row>
    <row r="83" customFormat="false" ht="22.35" hidden="false" customHeight="false" outlineLevel="0" collapsed="false">
      <c r="A83" s="2" t="n">
        <v>90</v>
      </c>
      <c r="B83" s="2" t="s">
        <v>442</v>
      </c>
      <c r="C83" s="2" t="s">
        <v>443</v>
      </c>
      <c r="D83" s="2" t="n">
        <v>2025</v>
      </c>
      <c r="E83" s="2" t="s">
        <v>444</v>
      </c>
      <c r="F83" s="2" t="s">
        <v>436</v>
      </c>
      <c r="G83" s="2" t="s">
        <v>29</v>
      </c>
      <c r="H83" s="2" t="s">
        <v>422</v>
      </c>
      <c r="I83" s="2" t="s">
        <v>154</v>
      </c>
      <c r="J83" s="2" t="s">
        <v>32</v>
      </c>
      <c r="K83" s="2" t="s">
        <v>39</v>
      </c>
      <c r="L83" s="2" t="s">
        <v>34</v>
      </c>
      <c r="M83" s="2" t="s">
        <v>49</v>
      </c>
      <c r="N83" s="2" t="s">
        <v>179</v>
      </c>
      <c r="O83" s="2" t="s">
        <v>445</v>
      </c>
      <c r="P83" s="2" t="s">
        <v>66</v>
      </c>
      <c r="Q83" s="2" t="s">
        <v>39</v>
      </c>
      <c r="R83" s="2" t="s">
        <v>52</v>
      </c>
      <c r="S83" s="2" t="s">
        <v>33</v>
      </c>
      <c r="T83" s="2" t="s">
        <v>33</v>
      </c>
      <c r="U83" s="2" t="s">
        <v>41</v>
      </c>
      <c r="V83" s="2" t="s">
        <v>42</v>
      </c>
      <c r="W83" s="2" t="n">
        <v>0</v>
      </c>
      <c r="X83" s="2" t="n">
        <v>1</v>
      </c>
      <c r="Y83" s="2" t="s">
        <v>33</v>
      </c>
    </row>
    <row r="84" customFormat="false" ht="22.35" hidden="false" customHeight="false" outlineLevel="0" collapsed="false">
      <c r="A84" s="2" t="n">
        <v>91</v>
      </c>
      <c r="B84" s="2" t="s">
        <v>446</v>
      </c>
      <c r="C84" s="2" t="s">
        <v>447</v>
      </c>
      <c r="D84" s="2" t="n">
        <v>2025</v>
      </c>
      <c r="E84" s="2" t="s">
        <v>448</v>
      </c>
      <c r="F84" s="2" t="s">
        <v>436</v>
      </c>
      <c r="G84" s="2" t="s">
        <v>29</v>
      </c>
      <c r="H84" s="2" t="s">
        <v>153</v>
      </c>
      <c r="I84" s="2" t="s">
        <v>116</v>
      </c>
      <c r="J84" s="2" t="s">
        <v>32</v>
      </c>
      <c r="K84" s="2" t="s">
        <v>39</v>
      </c>
      <c r="L84" s="2" t="s">
        <v>34</v>
      </c>
      <c r="M84" s="2" t="s">
        <v>49</v>
      </c>
      <c r="N84" s="2" t="s">
        <v>50</v>
      </c>
      <c r="O84" s="2" t="s">
        <v>118</v>
      </c>
      <c r="P84" s="2" t="s">
        <v>38</v>
      </c>
      <c r="Q84" s="2" t="s">
        <v>39</v>
      </c>
      <c r="R84" s="2" t="s">
        <v>52</v>
      </c>
      <c r="S84" s="2" t="s">
        <v>33</v>
      </c>
      <c r="T84" s="2" t="s">
        <v>33</v>
      </c>
      <c r="U84" s="2" t="s">
        <v>41</v>
      </c>
      <c r="V84" s="2" t="s">
        <v>42</v>
      </c>
      <c r="W84" s="2" t="n">
        <v>0</v>
      </c>
      <c r="X84" s="2" t="n">
        <v>0</v>
      </c>
      <c r="Y84" s="2" t="s">
        <v>33</v>
      </c>
    </row>
    <row r="85" customFormat="false" ht="22.35" hidden="false" customHeight="false" outlineLevel="0" collapsed="false">
      <c r="A85" s="2" t="n">
        <v>92</v>
      </c>
      <c r="B85" s="2" t="s">
        <v>449</v>
      </c>
      <c r="C85" s="2" t="s">
        <v>450</v>
      </c>
      <c r="D85" s="2" t="n">
        <v>2025</v>
      </c>
      <c r="E85" s="2" t="s">
        <v>451</v>
      </c>
      <c r="F85" s="2" t="s">
        <v>436</v>
      </c>
      <c r="G85" s="2" t="s">
        <v>359</v>
      </c>
      <c r="H85" s="2" t="s">
        <v>30</v>
      </c>
      <c r="I85" s="2" t="s">
        <v>31</v>
      </c>
      <c r="J85" s="2" t="s">
        <v>123</v>
      </c>
      <c r="K85" s="2" t="s">
        <v>33</v>
      </c>
      <c r="L85" s="2" t="s">
        <v>34</v>
      </c>
      <c r="M85" s="2" t="s">
        <v>49</v>
      </c>
      <c r="N85" s="2" t="s">
        <v>50</v>
      </c>
      <c r="O85" s="2" t="s">
        <v>257</v>
      </c>
      <c r="P85" s="2" t="s">
        <v>38</v>
      </c>
      <c r="Q85" s="2" t="s">
        <v>39</v>
      </c>
      <c r="R85" s="2" t="s">
        <v>40</v>
      </c>
      <c r="S85" s="2" t="s">
        <v>33</v>
      </c>
      <c r="T85" s="2" t="s">
        <v>33</v>
      </c>
      <c r="U85" s="2" t="s">
        <v>53</v>
      </c>
      <c r="V85" s="2" t="s">
        <v>42</v>
      </c>
      <c r="W85" s="2" t="n">
        <v>0</v>
      </c>
      <c r="X85" s="2" t="n">
        <v>2</v>
      </c>
      <c r="Y85" s="2" t="s">
        <v>33</v>
      </c>
    </row>
    <row r="86" customFormat="false" ht="22.35" hidden="false" customHeight="false" outlineLevel="0" collapsed="false">
      <c r="A86" s="2" t="n">
        <v>93</v>
      </c>
      <c r="B86" s="2" t="s">
        <v>452</v>
      </c>
      <c r="C86" s="2" t="s">
        <v>453</v>
      </c>
      <c r="D86" s="2" t="n">
        <v>2025</v>
      </c>
      <c r="E86" s="2" t="s">
        <v>454</v>
      </c>
      <c r="F86" s="2" t="s">
        <v>436</v>
      </c>
      <c r="G86" s="2" t="s">
        <v>29</v>
      </c>
      <c r="H86" s="2" t="s">
        <v>30</v>
      </c>
      <c r="I86" s="2" t="s">
        <v>31</v>
      </c>
      <c r="J86" s="2" t="s">
        <v>79</v>
      </c>
      <c r="K86" s="2" t="s">
        <v>39</v>
      </c>
      <c r="L86" s="2" t="s">
        <v>34</v>
      </c>
      <c r="M86" s="2" t="s">
        <v>49</v>
      </c>
      <c r="N86" s="2" t="s">
        <v>50</v>
      </c>
      <c r="O86" s="2" t="s">
        <v>257</v>
      </c>
      <c r="P86" s="2" t="s">
        <v>38</v>
      </c>
      <c r="Q86" s="2" t="s">
        <v>39</v>
      </c>
      <c r="R86" s="2" t="s">
        <v>40</v>
      </c>
      <c r="S86" s="2" t="s">
        <v>33</v>
      </c>
      <c r="T86" s="2" t="s">
        <v>33</v>
      </c>
      <c r="U86" s="2" t="s">
        <v>41</v>
      </c>
      <c r="V86" s="2" t="s">
        <v>42</v>
      </c>
      <c r="W86" s="2" t="n">
        <v>0</v>
      </c>
      <c r="X86" s="2" t="n">
        <v>1</v>
      </c>
      <c r="Y86" s="2" t="s">
        <v>33</v>
      </c>
    </row>
    <row r="87" customFormat="false" ht="22.35" hidden="false" customHeight="false" outlineLevel="0" collapsed="false">
      <c r="A87" s="2" t="n">
        <v>94</v>
      </c>
      <c r="B87" s="2" t="s">
        <v>455</v>
      </c>
      <c r="C87" s="2" t="s">
        <v>456</v>
      </c>
      <c r="D87" s="2" t="n">
        <v>2025</v>
      </c>
      <c r="E87" s="2" t="s">
        <v>457</v>
      </c>
      <c r="F87" s="2" t="s">
        <v>436</v>
      </c>
      <c r="G87" s="2" t="s">
        <v>359</v>
      </c>
      <c r="H87" s="2" t="s">
        <v>30</v>
      </c>
      <c r="I87" s="2" t="s">
        <v>31</v>
      </c>
      <c r="J87" s="2" t="s">
        <v>123</v>
      </c>
      <c r="K87" s="2" t="s">
        <v>33</v>
      </c>
      <c r="L87" s="2" t="s">
        <v>34</v>
      </c>
      <c r="M87" s="2" t="s">
        <v>49</v>
      </c>
      <c r="N87" s="2" t="s">
        <v>50</v>
      </c>
      <c r="O87" s="2" t="s">
        <v>458</v>
      </c>
      <c r="P87" s="2" t="s">
        <v>66</v>
      </c>
      <c r="Q87" s="2" t="s">
        <v>39</v>
      </c>
      <c r="R87" s="2" t="s">
        <v>52</v>
      </c>
      <c r="S87" s="2" t="s">
        <v>33</v>
      </c>
      <c r="T87" s="2" t="s">
        <v>33</v>
      </c>
      <c r="U87" s="2" t="s">
        <v>53</v>
      </c>
      <c r="V87" s="2" t="s">
        <v>42</v>
      </c>
      <c r="W87" s="2" t="n">
        <v>0</v>
      </c>
      <c r="X87" s="2" t="n">
        <v>2</v>
      </c>
      <c r="Y87" s="2" t="s">
        <v>33</v>
      </c>
    </row>
    <row r="88" customFormat="false" ht="22.35" hidden="false" customHeight="false" outlineLevel="0" collapsed="false">
      <c r="A88" s="2" t="n">
        <v>95</v>
      </c>
      <c r="B88" s="2" t="s">
        <v>459</v>
      </c>
      <c r="C88" s="2" t="s">
        <v>460</v>
      </c>
      <c r="D88" s="2" t="n">
        <v>2025</v>
      </c>
      <c r="E88" s="2" t="s">
        <v>461</v>
      </c>
      <c r="F88" s="2" t="s">
        <v>436</v>
      </c>
      <c r="G88" s="2" t="s">
        <v>29</v>
      </c>
      <c r="H88" s="2" t="s">
        <v>30</v>
      </c>
      <c r="I88" s="2" t="s">
        <v>31</v>
      </c>
      <c r="J88" s="2" t="s">
        <v>200</v>
      </c>
      <c r="K88" s="2" t="s">
        <v>33</v>
      </c>
      <c r="L88" s="2" t="s">
        <v>34</v>
      </c>
      <c r="M88" s="2" t="s">
        <v>49</v>
      </c>
      <c r="N88" s="2" t="s">
        <v>50</v>
      </c>
      <c r="O88" s="2" t="s">
        <v>212</v>
      </c>
      <c r="P88" s="2" t="s">
        <v>38</v>
      </c>
      <c r="Q88" s="2" t="s">
        <v>39</v>
      </c>
      <c r="R88" s="2" t="s">
        <v>40</v>
      </c>
      <c r="S88" s="2" t="s">
        <v>33</v>
      </c>
      <c r="T88" s="2" t="s">
        <v>33</v>
      </c>
      <c r="U88" s="2" t="s">
        <v>67</v>
      </c>
      <c r="V88" s="2" t="s">
        <v>68</v>
      </c>
      <c r="W88" s="2" t="n">
        <v>0</v>
      </c>
      <c r="X88" s="2" t="n">
        <v>1</v>
      </c>
      <c r="Y88" s="2" t="s">
        <v>33</v>
      </c>
    </row>
    <row r="89" customFormat="false" ht="22.35" hidden="false" customHeight="false" outlineLevel="0" collapsed="false">
      <c r="A89" s="2" t="n">
        <v>96</v>
      </c>
      <c r="B89" s="2" t="s">
        <v>462</v>
      </c>
      <c r="C89" s="2" t="s">
        <v>463</v>
      </c>
      <c r="D89" s="2" t="n">
        <v>2025</v>
      </c>
      <c r="E89" s="2" t="s">
        <v>464</v>
      </c>
      <c r="F89" s="2" t="s">
        <v>436</v>
      </c>
      <c r="G89" s="2" t="s">
        <v>47</v>
      </c>
      <c r="H89" s="2" t="s">
        <v>422</v>
      </c>
      <c r="I89" s="2" t="s">
        <v>154</v>
      </c>
      <c r="J89" s="2" t="s">
        <v>79</v>
      </c>
      <c r="K89" s="2" t="s">
        <v>39</v>
      </c>
      <c r="L89" s="2" t="s">
        <v>34</v>
      </c>
      <c r="M89" s="2" t="s">
        <v>49</v>
      </c>
      <c r="N89" s="2" t="s">
        <v>50</v>
      </c>
      <c r="O89" s="2" t="s">
        <v>465</v>
      </c>
      <c r="P89" s="2" t="s">
        <v>38</v>
      </c>
      <c r="Q89" s="2" t="s">
        <v>39</v>
      </c>
      <c r="R89" s="2" t="s">
        <v>81</v>
      </c>
      <c r="S89" s="2" t="s">
        <v>39</v>
      </c>
      <c r="T89" s="2" t="s">
        <v>33</v>
      </c>
      <c r="U89" s="2" t="s">
        <v>53</v>
      </c>
      <c r="V89" s="2" t="s">
        <v>42</v>
      </c>
      <c r="W89" s="2" t="n">
        <v>0</v>
      </c>
      <c r="X89" s="2" t="n">
        <v>1</v>
      </c>
      <c r="Y89" s="2" t="s">
        <v>33</v>
      </c>
    </row>
    <row r="90" customFormat="false" ht="22.35" hidden="false" customHeight="false" outlineLevel="0" collapsed="false">
      <c r="A90" s="2" t="n">
        <v>97</v>
      </c>
      <c r="B90" s="2" t="s">
        <v>466</v>
      </c>
      <c r="C90" s="2" t="s">
        <v>467</v>
      </c>
      <c r="D90" s="2" t="n">
        <v>2025</v>
      </c>
      <c r="E90" s="2" t="s">
        <v>468</v>
      </c>
      <c r="F90" s="2" t="s">
        <v>436</v>
      </c>
      <c r="G90" s="2" t="s">
        <v>29</v>
      </c>
      <c r="H90" s="2" t="s">
        <v>73</v>
      </c>
      <c r="I90" s="2" t="s">
        <v>73</v>
      </c>
      <c r="J90" s="2" t="s">
        <v>32</v>
      </c>
      <c r="K90" s="2" t="s">
        <v>33</v>
      </c>
      <c r="L90" s="2" t="s">
        <v>34</v>
      </c>
      <c r="M90" s="2" t="s">
        <v>49</v>
      </c>
      <c r="N90" s="2" t="s">
        <v>50</v>
      </c>
      <c r="O90" s="2" t="s">
        <v>327</v>
      </c>
      <c r="P90" s="2" t="s">
        <v>38</v>
      </c>
      <c r="Q90" s="2" t="s">
        <v>39</v>
      </c>
      <c r="R90" s="2" t="s">
        <v>81</v>
      </c>
      <c r="S90" s="2" t="s">
        <v>39</v>
      </c>
      <c r="T90" s="2" t="s">
        <v>39</v>
      </c>
      <c r="U90" s="2" t="s">
        <v>41</v>
      </c>
      <c r="V90" s="2" t="s">
        <v>54</v>
      </c>
      <c r="W90" s="2" t="n">
        <v>1</v>
      </c>
      <c r="X90" s="2" t="n">
        <v>2</v>
      </c>
      <c r="Y90" s="2" t="s">
        <v>33</v>
      </c>
    </row>
    <row r="91" customFormat="false" ht="22.35" hidden="false" customHeight="false" outlineLevel="0" collapsed="false">
      <c r="A91" s="2" t="n">
        <v>98</v>
      </c>
      <c r="B91" s="2" t="s">
        <v>469</v>
      </c>
      <c r="C91" s="2" t="s">
        <v>470</v>
      </c>
      <c r="D91" s="2" t="n">
        <v>2026</v>
      </c>
      <c r="E91" s="2" t="s">
        <v>471</v>
      </c>
      <c r="F91" s="2" t="s">
        <v>436</v>
      </c>
      <c r="G91" s="2" t="s">
        <v>29</v>
      </c>
      <c r="H91" s="2" t="s">
        <v>153</v>
      </c>
      <c r="I91" s="2" t="s">
        <v>116</v>
      </c>
      <c r="J91" s="2" t="s">
        <v>32</v>
      </c>
      <c r="K91" s="2" t="s">
        <v>39</v>
      </c>
      <c r="L91" s="2" t="s">
        <v>63</v>
      </c>
      <c r="M91" s="2" t="s">
        <v>35</v>
      </c>
      <c r="N91" s="2" t="s">
        <v>118</v>
      </c>
      <c r="O91" s="2" t="s">
        <v>118</v>
      </c>
      <c r="P91" s="2" t="s">
        <v>118</v>
      </c>
      <c r="Q91" s="2" t="s">
        <v>33</v>
      </c>
      <c r="R91" s="2" t="s">
        <v>53</v>
      </c>
      <c r="S91" s="2" t="s">
        <v>33</v>
      </c>
      <c r="T91" s="2" t="s">
        <v>33</v>
      </c>
      <c r="U91" s="2" t="s">
        <v>53</v>
      </c>
      <c r="V91" s="2" t="s">
        <v>42</v>
      </c>
      <c r="W91" s="2" t="n">
        <v>0</v>
      </c>
      <c r="X91" s="2" t="n">
        <v>0</v>
      </c>
      <c r="Y91" s="2" t="s">
        <v>33</v>
      </c>
    </row>
    <row r="92" customFormat="false" ht="22.35" hidden="false" customHeight="false" outlineLevel="0" collapsed="false">
      <c r="A92" s="2" t="n">
        <v>99</v>
      </c>
      <c r="B92" s="2" t="s">
        <v>472</v>
      </c>
      <c r="C92" s="2" t="s">
        <v>473</v>
      </c>
      <c r="D92" s="2" t="n">
        <v>2026</v>
      </c>
      <c r="E92" s="2" t="s">
        <v>474</v>
      </c>
      <c r="F92" s="2" t="s">
        <v>436</v>
      </c>
      <c r="G92" s="2" t="s">
        <v>291</v>
      </c>
      <c r="H92" s="2" t="s">
        <v>73</v>
      </c>
      <c r="I92" s="2" t="s">
        <v>73</v>
      </c>
      <c r="J92" s="2" t="s">
        <v>123</v>
      </c>
      <c r="K92" s="2" t="s">
        <v>33</v>
      </c>
      <c r="L92" s="2" t="s">
        <v>34</v>
      </c>
      <c r="M92" s="2" t="s">
        <v>49</v>
      </c>
      <c r="N92" s="2" t="s">
        <v>50</v>
      </c>
      <c r="O92" s="2" t="s">
        <v>300</v>
      </c>
      <c r="P92" s="2" t="s">
        <v>38</v>
      </c>
      <c r="Q92" s="2" t="s">
        <v>39</v>
      </c>
      <c r="R92" s="2" t="s">
        <v>40</v>
      </c>
      <c r="S92" s="2" t="s">
        <v>33</v>
      </c>
      <c r="T92" s="2" t="s">
        <v>33</v>
      </c>
      <c r="U92" s="2" t="s">
        <v>53</v>
      </c>
      <c r="V92" s="2" t="s">
        <v>42</v>
      </c>
      <c r="W92" s="2" t="n">
        <v>0</v>
      </c>
      <c r="X92" s="2" t="n">
        <v>4</v>
      </c>
      <c r="Y92" s="2" t="s">
        <v>33</v>
      </c>
    </row>
    <row r="93" customFormat="false" ht="15" hidden="false" customHeight="false" outlineLevel="0" collapsed="false">
      <c r="A93" s="2" t="n">
        <v>100</v>
      </c>
      <c r="B93" s="2" t="s">
        <v>475</v>
      </c>
      <c r="C93" s="2" t="s">
        <v>476</v>
      </c>
      <c r="D93" s="2" t="n">
        <v>2026</v>
      </c>
      <c r="E93" s="2" t="s">
        <v>477</v>
      </c>
      <c r="F93" s="2" t="s">
        <v>436</v>
      </c>
      <c r="G93" s="2" t="s">
        <v>29</v>
      </c>
      <c r="H93" s="2" t="s">
        <v>30</v>
      </c>
      <c r="I93" s="2" t="s">
        <v>31</v>
      </c>
      <c r="J93" s="2" t="s">
        <v>32</v>
      </c>
      <c r="K93" s="2" t="s">
        <v>33</v>
      </c>
      <c r="L93" s="2" t="s">
        <v>34</v>
      </c>
      <c r="M93" s="2" t="s">
        <v>49</v>
      </c>
      <c r="N93" s="2" t="s">
        <v>50</v>
      </c>
      <c r="O93" s="2" t="s">
        <v>478</v>
      </c>
      <c r="P93" s="2" t="s">
        <v>38</v>
      </c>
      <c r="Q93" s="2" t="s">
        <v>39</v>
      </c>
      <c r="R93" s="2" t="s">
        <v>40</v>
      </c>
      <c r="S93" s="2" t="s">
        <v>33</v>
      </c>
      <c r="T93" s="2" t="s">
        <v>39</v>
      </c>
      <c r="U93" s="2" t="s">
        <v>41</v>
      </c>
      <c r="V93" s="2" t="s">
        <v>54</v>
      </c>
      <c r="W93" s="2" t="n">
        <v>1</v>
      </c>
      <c r="X93" s="2" t="n">
        <v>2</v>
      </c>
      <c r="Y93" s="2" t="s">
        <v>33</v>
      </c>
    </row>
    <row r="94" customFormat="false" ht="22.35" hidden="false" customHeight="false" outlineLevel="0" collapsed="false">
      <c r="A94" s="2" t="n">
        <v>101</v>
      </c>
      <c r="B94" s="2" t="s">
        <v>479</v>
      </c>
      <c r="C94" s="2" t="s">
        <v>480</v>
      </c>
      <c r="D94" s="2" t="n">
        <v>2026</v>
      </c>
      <c r="E94" s="2" t="s">
        <v>481</v>
      </c>
      <c r="F94" s="2" t="s">
        <v>436</v>
      </c>
      <c r="G94" s="2" t="s">
        <v>29</v>
      </c>
      <c r="H94" s="2" t="s">
        <v>30</v>
      </c>
      <c r="I94" s="2" t="s">
        <v>31</v>
      </c>
      <c r="J94" s="2" t="s">
        <v>159</v>
      </c>
      <c r="K94" s="2" t="s">
        <v>33</v>
      </c>
      <c r="L94" s="2" t="s">
        <v>34</v>
      </c>
      <c r="M94" s="2" t="s">
        <v>49</v>
      </c>
      <c r="N94" s="2" t="s">
        <v>50</v>
      </c>
      <c r="O94" s="2" t="s">
        <v>482</v>
      </c>
      <c r="P94" s="2" t="s">
        <v>38</v>
      </c>
      <c r="Q94" s="2" t="s">
        <v>39</v>
      </c>
      <c r="R94" s="2" t="s">
        <v>81</v>
      </c>
      <c r="S94" s="2" t="s">
        <v>39</v>
      </c>
      <c r="T94" s="2" t="s">
        <v>33</v>
      </c>
      <c r="U94" s="2" t="s">
        <v>53</v>
      </c>
      <c r="V94" s="2" t="s">
        <v>42</v>
      </c>
      <c r="W94" s="2" t="n">
        <v>0</v>
      </c>
      <c r="X94" s="2" t="n">
        <v>3</v>
      </c>
      <c r="Y94" s="2" t="s">
        <v>33</v>
      </c>
    </row>
    <row r="95" customFormat="false" ht="15" hidden="false" customHeight="false" outlineLevel="0" collapsed="false">
      <c r="A95" s="2" t="n">
        <v>102</v>
      </c>
      <c r="B95" s="2" t="s">
        <v>483</v>
      </c>
      <c r="C95" s="2" t="s">
        <v>484</v>
      </c>
      <c r="D95" s="2" t="n">
        <v>2026</v>
      </c>
      <c r="E95" s="2" t="s">
        <v>485</v>
      </c>
      <c r="F95" s="2" t="s">
        <v>436</v>
      </c>
      <c r="G95" s="2" t="s">
        <v>29</v>
      </c>
      <c r="H95" s="2" t="s">
        <v>422</v>
      </c>
      <c r="I95" s="2" t="s">
        <v>154</v>
      </c>
      <c r="J95" s="2" t="s">
        <v>315</v>
      </c>
      <c r="K95" s="2" t="s">
        <v>33</v>
      </c>
      <c r="L95" s="2" t="s">
        <v>116</v>
      </c>
      <c r="M95" s="2" t="s">
        <v>35</v>
      </c>
      <c r="N95" s="2" t="s">
        <v>179</v>
      </c>
      <c r="O95" s="2" t="s">
        <v>486</v>
      </c>
      <c r="P95" s="2" t="s">
        <v>38</v>
      </c>
      <c r="Q95" s="2" t="s">
        <v>33</v>
      </c>
      <c r="R95" s="2" t="s">
        <v>53</v>
      </c>
      <c r="S95" s="2" t="s">
        <v>33</v>
      </c>
      <c r="T95" s="2" t="s">
        <v>33</v>
      </c>
      <c r="U95" s="2" t="s">
        <v>41</v>
      </c>
      <c r="V95" s="2" t="s">
        <v>42</v>
      </c>
      <c r="W95" s="2" t="n">
        <v>0</v>
      </c>
      <c r="X95" s="2" t="n">
        <v>4</v>
      </c>
      <c r="Y95" s="2" t="s">
        <v>33</v>
      </c>
    </row>
    <row r="96" customFormat="false" ht="22.35" hidden="false" customHeight="false" outlineLevel="0" collapsed="false">
      <c r="A96" s="2" t="n">
        <v>103</v>
      </c>
      <c r="B96" s="2" t="s">
        <v>487</v>
      </c>
      <c r="C96" s="2" t="s">
        <v>399</v>
      </c>
      <c r="D96" s="2" t="n">
        <v>2025</v>
      </c>
      <c r="E96" s="2" t="s">
        <v>488</v>
      </c>
      <c r="F96" s="2" t="s">
        <v>489</v>
      </c>
      <c r="G96" s="2" t="s">
        <v>184</v>
      </c>
      <c r="H96" s="2" t="s">
        <v>30</v>
      </c>
      <c r="I96" s="2" t="s">
        <v>31</v>
      </c>
      <c r="J96" s="2" t="s">
        <v>79</v>
      </c>
      <c r="K96" s="2" t="s">
        <v>39</v>
      </c>
      <c r="L96" s="2" t="s">
        <v>63</v>
      </c>
      <c r="M96" s="2" t="s">
        <v>49</v>
      </c>
      <c r="N96" s="2" t="s">
        <v>50</v>
      </c>
      <c r="O96" s="2" t="s">
        <v>300</v>
      </c>
      <c r="P96" s="2" t="s">
        <v>38</v>
      </c>
      <c r="Q96" s="2" t="s">
        <v>39</v>
      </c>
      <c r="R96" s="2" t="s">
        <v>52</v>
      </c>
      <c r="S96" s="2" t="s">
        <v>33</v>
      </c>
      <c r="T96" s="2" t="s">
        <v>33</v>
      </c>
      <c r="U96" s="2" t="s">
        <v>41</v>
      </c>
      <c r="V96" s="2" t="s">
        <v>42</v>
      </c>
      <c r="W96" s="2" t="n">
        <v>0</v>
      </c>
      <c r="X96" s="2" t="n">
        <v>1</v>
      </c>
      <c r="Y96" s="2" t="s">
        <v>33</v>
      </c>
    </row>
    <row r="97" customFormat="false" ht="22.35" hidden="false" customHeight="false" outlineLevel="0" collapsed="false">
      <c r="A97" s="2" t="n">
        <v>104</v>
      </c>
      <c r="B97" s="2" t="s">
        <v>490</v>
      </c>
      <c r="C97" s="2" t="s">
        <v>491</v>
      </c>
      <c r="D97" s="2" t="n">
        <v>2026</v>
      </c>
      <c r="E97" s="2" t="s">
        <v>492</v>
      </c>
      <c r="F97" s="2" t="s">
        <v>489</v>
      </c>
      <c r="G97" s="2" t="s">
        <v>99</v>
      </c>
      <c r="H97" s="2" t="s">
        <v>30</v>
      </c>
      <c r="I97" s="2" t="s">
        <v>31</v>
      </c>
      <c r="J97" s="2" t="s">
        <v>159</v>
      </c>
      <c r="K97" s="2" t="s">
        <v>33</v>
      </c>
      <c r="L97" s="2" t="s">
        <v>34</v>
      </c>
      <c r="M97" s="2" t="s">
        <v>49</v>
      </c>
      <c r="N97" s="2" t="s">
        <v>50</v>
      </c>
      <c r="O97" s="2" t="s">
        <v>257</v>
      </c>
      <c r="P97" s="2" t="s">
        <v>38</v>
      </c>
      <c r="Q97" s="2" t="s">
        <v>39</v>
      </c>
      <c r="R97" s="2" t="s">
        <v>40</v>
      </c>
      <c r="S97" s="2" t="s">
        <v>33</v>
      </c>
      <c r="T97" s="2" t="s">
        <v>33</v>
      </c>
      <c r="U97" s="2" t="s">
        <v>41</v>
      </c>
      <c r="V97" s="2" t="s">
        <v>42</v>
      </c>
      <c r="W97" s="2" t="n">
        <v>0</v>
      </c>
      <c r="X97" s="2" t="n">
        <v>2</v>
      </c>
      <c r="Y97" s="2" t="s">
        <v>33</v>
      </c>
    </row>
    <row r="98" customFormat="false" ht="22.35" hidden="false" customHeight="false" outlineLevel="0" collapsed="false">
      <c r="A98" s="2" t="n">
        <v>105</v>
      </c>
      <c r="B98" s="2" t="s">
        <v>493</v>
      </c>
      <c r="C98" s="2" t="s">
        <v>197</v>
      </c>
      <c r="D98" s="2" t="n">
        <v>2024</v>
      </c>
      <c r="E98" s="2" t="s">
        <v>494</v>
      </c>
      <c r="F98" s="2" t="s">
        <v>495</v>
      </c>
      <c r="G98" s="2" t="s">
        <v>199</v>
      </c>
      <c r="H98" s="2" t="s">
        <v>30</v>
      </c>
      <c r="I98" s="2" t="s">
        <v>31</v>
      </c>
      <c r="J98" s="2" t="s">
        <v>79</v>
      </c>
      <c r="K98" s="2" t="s">
        <v>39</v>
      </c>
      <c r="L98" s="2" t="s">
        <v>139</v>
      </c>
      <c r="M98" s="2" t="s">
        <v>35</v>
      </c>
      <c r="N98" s="2" t="s">
        <v>179</v>
      </c>
      <c r="O98" s="2" t="s">
        <v>496</v>
      </c>
      <c r="P98" s="2" t="s">
        <v>38</v>
      </c>
      <c r="Q98" s="2" t="s">
        <v>39</v>
      </c>
      <c r="R98" s="2" t="s">
        <v>40</v>
      </c>
      <c r="S98" s="2" t="s">
        <v>33</v>
      </c>
      <c r="T98" s="2" t="s">
        <v>33</v>
      </c>
      <c r="U98" s="2" t="s">
        <v>67</v>
      </c>
      <c r="V98" s="2" t="s">
        <v>42</v>
      </c>
      <c r="W98" s="2" t="n">
        <v>0</v>
      </c>
      <c r="X98" s="2" t="n">
        <v>1</v>
      </c>
      <c r="Y98" s="2" t="s">
        <v>33</v>
      </c>
    </row>
    <row r="99" customFormat="false" ht="32.8" hidden="false" customHeight="false" outlineLevel="0" collapsed="false">
      <c r="A99" s="2" t="n">
        <v>106</v>
      </c>
      <c r="B99" s="2" t="s">
        <v>497</v>
      </c>
      <c r="C99" s="2" t="s">
        <v>345</v>
      </c>
      <c r="D99" s="2" t="n">
        <v>2025</v>
      </c>
      <c r="E99" s="2" t="s">
        <v>498</v>
      </c>
      <c r="F99" s="2" t="s">
        <v>499</v>
      </c>
      <c r="G99" s="2" t="s">
        <v>291</v>
      </c>
      <c r="H99" s="2" t="s">
        <v>321</v>
      </c>
      <c r="I99" s="2" t="s">
        <v>154</v>
      </c>
      <c r="J99" s="2" t="s">
        <v>100</v>
      </c>
      <c r="K99" s="2" t="s">
        <v>39</v>
      </c>
      <c r="L99" s="2" t="s">
        <v>330</v>
      </c>
      <c r="M99" s="2" t="s">
        <v>35</v>
      </c>
      <c r="N99" s="2" t="s">
        <v>36</v>
      </c>
      <c r="O99" s="2" t="s">
        <v>500</v>
      </c>
      <c r="P99" s="2" t="s">
        <v>38</v>
      </c>
      <c r="Q99" s="2" t="s">
        <v>39</v>
      </c>
      <c r="R99" s="2" t="s">
        <v>40</v>
      </c>
      <c r="S99" s="2" t="s">
        <v>33</v>
      </c>
      <c r="T99" s="2" t="s">
        <v>33</v>
      </c>
      <c r="U99" s="2" t="s">
        <v>67</v>
      </c>
      <c r="V99" s="2" t="s">
        <v>42</v>
      </c>
      <c r="W99" s="2" t="n">
        <v>0</v>
      </c>
      <c r="X99" s="2" t="n">
        <v>1</v>
      </c>
      <c r="Y99" s="2" t="s">
        <v>33</v>
      </c>
    </row>
    <row r="100" customFormat="false" ht="22.35" hidden="false" customHeight="false" outlineLevel="0" collapsed="false">
      <c r="A100" s="2" t="n">
        <v>107</v>
      </c>
      <c r="B100" s="2" t="s">
        <v>501</v>
      </c>
      <c r="C100" s="2" t="s">
        <v>502</v>
      </c>
      <c r="D100" s="2" t="n">
        <v>2026</v>
      </c>
      <c r="E100" s="2" t="s">
        <v>503</v>
      </c>
      <c r="F100" s="2" t="s">
        <v>499</v>
      </c>
      <c r="G100" s="2" t="s">
        <v>291</v>
      </c>
      <c r="H100" s="2" t="s">
        <v>321</v>
      </c>
      <c r="I100" s="2" t="s">
        <v>154</v>
      </c>
      <c r="J100" s="2" t="s">
        <v>100</v>
      </c>
      <c r="K100" s="2" t="s">
        <v>39</v>
      </c>
      <c r="L100" s="2" t="s">
        <v>330</v>
      </c>
      <c r="M100" s="2" t="s">
        <v>35</v>
      </c>
      <c r="N100" s="2" t="s">
        <v>36</v>
      </c>
      <c r="O100" s="2" t="s">
        <v>118</v>
      </c>
      <c r="P100" s="2" t="s">
        <v>38</v>
      </c>
      <c r="Q100" s="2" t="s">
        <v>39</v>
      </c>
      <c r="R100" s="2" t="s">
        <v>52</v>
      </c>
      <c r="S100" s="2" t="s">
        <v>33</v>
      </c>
      <c r="T100" s="2" t="s">
        <v>33</v>
      </c>
      <c r="U100" s="2" t="s">
        <v>67</v>
      </c>
      <c r="V100" s="2" t="s">
        <v>42</v>
      </c>
      <c r="W100" s="2" t="n">
        <v>0</v>
      </c>
      <c r="X100" s="2" t="n">
        <v>0</v>
      </c>
      <c r="Y100" s="2" t="s">
        <v>33</v>
      </c>
    </row>
    <row r="101" customFormat="false" ht="22.35" hidden="false" customHeight="false" outlineLevel="0" collapsed="false">
      <c r="A101" s="2" t="n">
        <v>108</v>
      </c>
      <c r="B101" s="2" t="s">
        <v>504</v>
      </c>
      <c r="C101" s="2" t="s">
        <v>505</v>
      </c>
      <c r="D101" s="2" t="n">
        <v>2026</v>
      </c>
      <c r="E101" s="2" t="s">
        <v>506</v>
      </c>
      <c r="F101" s="2" t="s">
        <v>507</v>
      </c>
      <c r="G101" s="2" t="s">
        <v>184</v>
      </c>
      <c r="H101" s="2" t="s">
        <v>30</v>
      </c>
      <c r="I101" s="2" t="s">
        <v>31</v>
      </c>
      <c r="J101" s="2" t="s">
        <v>32</v>
      </c>
      <c r="K101" s="2" t="s">
        <v>33</v>
      </c>
      <c r="L101" s="2" t="s">
        <v>110</v>
      </c>
      <c r="M101" s="2" t="s">
        <v>49</v>
      </c>
      <c r="N101" s="2" t="s">
        <v>50</v>
      </c>
      <c r="O101" s="2" t="s">
        <v>508</v>
      </c>
      <c r="P101" s="2" t="s">
        <v>38</v>
      </c>
      <c r="Q101" s="2" t="s">
        <v>39</v>
      </c>
      <c r="R101" s="2" t="s">
        <v>52</v>
      </c>
      <c r="S101" s="2" t="s">
        <v>33</v>
      </c>
      <c r="T101" s="2" t="s">
        <v>33</v>
      </c>
      <c r="U101" s="2" t="s">
        <v>53</v>
      </c>
      <c r="V101" s="2" t="s">
        <v>68</v>
      </c>
      <c r="W101" s="2" t="n">
        <v>0</v>
      </c>
      <c r="X101" s="2" t="n">
        <v>2</v>
      </c>
      <c r="Y101" s="2" t="s">
        <v>33</v>
      </c>
    </row>
    <row r="102" customFormat="false" ht="22.35" hidden="false" customHeight="false" outlineLevel="0" collapsed="false">
      <c r="A102" s="2" t="n">
        <v>109</v>
      </c>
      <c r="B102" s="2" t="s">
        <v>509</v>
      </c>
      <c r="C102" s="2" t="s">
        <v>510</v>
      </c>
      <c r="D102" s="2" t="n">
        <v>2025</v>
      </c>
      <c r="E102" s="2" t="s">
        <v>511</v>
      </c>
      <c r="F102" s="2" t="s">
        <v>512</v>
      </c>
      <c r="G102" s="2" t="s">
        <v>513</v>
      </c>
      <c r="H102" s="2" t="s">
        <v>30</v>
      </c>
      <c r="I102" s="2" t="s">
        <v>31</v>
      </c>
      <c r="J102" s="2" t="s">
        <v>32</v>
      </c>
      <c r="K102" s="2" t="s">
        <v>33</v>
      </c>
      <c r="L102" s="2" t="s">
        <v>34</v>
      </c>
      <c r="M102" s="2" t="s">
        <v>49</v>
      </c>
      <c r="N102" s="2" t="s">
        <v>50</v>
      </c>
      <c r="O102" s="2" t="s">
        <v>212</v>
      </c>
      <c r="P102" s="2" t="s">
        <v>66</v>
      </c>
      <c r="Q102" s="2" t="s">
        <v>39</v>
      </c>
      <c r="R102" s="2" t="s">
        <v>81</v>
      </c>
      <c r="S102" s="2" t="s">
        <v>39</v>
      </c>
      <c r="T102" s="2" t="s">
        <v>33</v>
      </c>
      <c r="U102" s="2" t="s">
        <v>53</v>
      </c>
      <c r="V102" s="2" t="s">
        <v>68</v>
      </c>
      <c r="W102" s="2" t="n">
        <v>0</v>
      </c>
      <c r="X102" s="2" t="n">
        <v>1</v>
      </c>
      <c r="Y102" s="2" t="s">
        <v>39</v>
      </c>
    </row>
    <row r="103" customFormat="false" ht="32.8" hidden="false" customHeight="false" outlineLevel="0" collapsed="false">
      <c r="A103" s="2" t="n">
        <v>110</v>
      </c>
      <c r="B103" s="2" t="s">
        <v>514</v>
      </c>
      <c r="C103" s="2" t="s">
        <v>515</v>
      </c>
      <c r="D103" s="2" t="n">
        <v>2025</v>
      </c>
      <c r="E103" s="2" t="s">
        <v>516</v>
      </c>
      <c r="F103" s="2" t="s">
        <v>517</v>
      </c>
      <c r="G103" s="2" t="s">
        <v>29</v>
      </c>
      <c r="H103" s="2" t="s">
        <v>30</v>
      </c>
      <c r="I103" s="2" t="s">
        <v>31</v>
      </c>
      <c r="J103" s="2" t="s">
        <v>48</v>
      </c>
      <c r="K103" s="2" t="s">
        <v>33</v>
      </c>
      <c r="L103" s="2" t="s">
        <v>34</v>
      </c>
      <c r="M103" s="2" t="s">
        <v>49</v>
      </c>
      <c r="N103" s="2" t="s">
        <v>118</v>
      </c>
      <c r="O103" s="2" t="s">
        <v>118</v>
      </c>
      <c r="P103" s="2" t="s">
        <v>38</v>
      </c>
      <c r="Q103" s="2" t="s">
        <v>39</v>
      </c>
      <c r="R103" s="2" t="s">
        <v>81</v>
      </c>
      <c r="S103" s="2" t="s">
        <v>39</v>
      </c>
      <c r="T103" s="2" t="s">
        <v>33</v>
      </c>
      <c r="U103" s="2" t="s">
        <v>53</v>
      </c>
      <c r="V103" s="2" t="s">
        <v>54</v>
      </c>
      <c r="W103" s="2" t="n">
        <v>0</v>
      </c>
      <c r="X103" s="2" t="n">
        <v>0</v>
      </c>
      <c r="Y103" s="2" t="s">
        <v>33</v>
      </c>
    </row>
    <row r="104" customFormat="false" ht="22.35" hidden="false" customHeight="false" outlineLevel="0" collapsed="false">
      <c r="A104" s="2" t="n">
        <v>111</v>
      </c>
      <c r="B104" s="2" t="s">
        <v>518</v>
      </c>
      <c r="C104" s="2" t="s">
        <v>519</v>
      </c>
      <c r="D104" s="2" t="n">
        <v>2022</v>
      </c>
      <c r="E104" s="2" t="s">
        <v>520</v>
      </c>
      <c r="F104" s="2" t="s">
        <v>521</v>
      </c>
      <c r="G104" s="2" t="s">
        <v>72</v>
      </c>
      <c r="H104" s="2" t="s">
        <v>30</v>
      </c>
      <c r="I104" s="2" t="s">
        <v>31</v>
      </c>
      <c r="J104" s="2" t="s">
        <v>32</v>
      </c>
      <c r="K104" s="2" t="s">
        <v>33</v>
      </c>
      <c r="L104" s="2" t="s">
        <v>63</v>
      </c>
      <c r="M104" s="2" t="s">
        <v>49</v>
      </c>
      <c r="N104" s="2" t="s">
        <v>50</v>
      </c>
      <c r="O104" s="2" t="s">
        <v>522</v>
      </c>
      <c r="P104" s="2" t="s">
        <v>38</v>
      </c>
      <c r="Q104" s="2" t="s">
        <v>39</v>
      </c>
      <c r="R104" s="2" t="s">
        <v>75</v>
      </c>
      <c r="S104" s="2" t="s">
        <v>33</v>
      </c>
      <c r="T104" s="2" t="s">
        <v>33</v>
      </c>
      <c r="U104" s="2" t="s">
        <v>41</v>
      </c>
      <c r="V104" s="2" t="s">
        <v>68</v>
      </c>
      <c r="W104" s="2" t="n">
        <v>0</v>
      </c>
      <c r="X104" s="2" t="n">
        <v>2</v>
      </c>
      <c r="Y104" s="2" t="s">
        <v>33</v>
      </c>
    </row>
    <row r="105" customFormat="false" ht="22.35" hidden="false" customHeight="false" outlineLevel="0" collapsed="false">
      <c r="A105" s="2" t="n">
        <v>112</v>
      </c>
      <c r="B105" s="2" t="s">
        <v>523</v>
      </c>
      <c r="C105" s="2" t="s">
        <v>524</v>
      </c>
      <c r="D105" s="2" t="n">
        <v>2023</v>
      </c>
      <c r="E105" s="2" t="s">
        <v>525</v>
      </c>
      <c r="F105" s="2" t="s">
        <v>526</v>
      </c>
      <c r="G105" s="2" t="s">
        <v>513</v>
      </c>
      <c r="H105" s="2" t="s">
        <v>30</v>
      </c>
      <c r="I105" s="2" t="s">
        <v>31</v>
      </c>
      <c r="J105" s="2" t="s">
        <v>32</v>
      </c>
      <c r="K105" s="2" t="s">
        <v>33</v>
      </c>
      <c r="L105" s="2" t="s">
        <v>34</v>
      </c>
      <c r="M105" s="2" t="s">
        <v>49</v>
      </c>
      <c r="N105" s="2" t="s">
        <v>50</v>
      </c>
      <c r="O105" s="2" t="s">
        <v>527</v>
      </c>
      <c r="P105" s="2" t="s">
        <v>38</v>
      </c>
      <c r="Q105" s="2" t="s">
        <v>39</v>
      </c>
      <c r="R105" s="2" t="s">
        <v>81</v>
      </c>
      <c r="S105" s="2" t="s">
        <v>39</v>
      </c>
      <c r="T105" s="2" t="s">
        <v>33</v>
      </c>
      <c r="U105" s="2" t="s">
        <v>41</v>
      </c>
      <c r="V105" s="2" t="s">
        <v>42</v>
      </c>
      <c r="W105" s="2" t="n">
        <v>0</v>
      </c>
      <c r="X105" s="2" t="n">
        <v>1</v>
      </c>
      <c r="Y105" s="2" t="s">
        <v>33</v>
      </c>
    </row>
    <row r="106" customFormat="false" ht="22.35" hidden="false" customHeight="false" outlineLevel="0" collapsed="false">
      <c r="A106" s="2" t="n">
        <v>113</v>
      </c>
      <c r="B106" s="2" t="s">
        <v>528</v>
      </c>
      <c r="C106" s="2" t="s">
        <v>529</v>
      </c>
      <c r="D106" s="2" t="n">
        <v>2025</v>
      </c>
      <c r="E106" s="2" t="s">
        <v>530</v>
      </c>
      <c r="F106" s="2" t="s">
        <v>526</v>
      </c>
      <c r="G106" s="2" t="s">
        <v>99</v>
      </c>
      <c r="H106" s="2" t="s">
        <v>30</v>
      </c>
      <c r="I106" s="2" t="s">
        <v>31</v>
      </c>
      <c r="J106" s="2" t="s">
        <v>100</v>
      </c>
      <c r="K106" s="2" t="s">
        <v>39</v>
      </c>
      <c r="L106" s="2" t="s">
        <v>63</v>
      </c>
      <c r="M106" s="2" t="s">
        <v>49</v>
      </c>
      <c r="N106" s="2" t="s">
        <v>50</v>
      </c>
      <c r="O106" s="2" t="s">
        <v>118</v>
      </c>
      <c r="P106" s="2" t="s">
        <v>66</v>
      </c>
      <c r="Q106" s="2" t="s">
        <v>39</v>
      </c>
      <c r="R106" s="2" t="s">
        <v>75</v>
      </c>
      <c r="S106" s="2" t="s">
        <v>39</v>
      </c>
      <c r="T106" s="2" t="s">
        <v>33</v>
      </c>
      <c r="U106" s="2" t="s">
        <v>53</v>
      </c>
      <c r="V106" s="2" t="s">
        <v>68</v>
      </c>
      <c r="W106" s="2" t="n">
        <v>0</v>
      </c>
      <c r="X106" s="2" t="n">
        <v>0</v>
      </c>
      <c r="Y106" s="2" t="s">
        <v>39</v>
      </c>
    </row>
    <row r="107" customFormat="false" ht="22.35" hidden="false" customHeight="false" outlineLevel="0" collapsed="false">
      <c r="A107" s="2" t="n">
        <v>114</v>
      </c>
      <c r="B107" s="2" t="s">
        <v>531</v>
      </c>
      <c r="C107" s="2" t="s">
        <v>532</v>
      </c>
      <c r="D107" s="2" t="n">
        <v>2021</v>
      </c>
      <c r="E107" s="2" t="s">
        <v>533</v>
      </c>
      <c r="F107" s="2" t="s">
        <v>534</v>
      </c>
      <c r="G107" s="2" t="s">
        <v>29</v>
      </c>
      <c r="H107" s="2" t="s">
        <v>30</v>
      </c>
      <c r="I107" s="2" t="s">
        <v>31</v>
      </c>
      <c r="J107" s="2" t="s">
        <v>100</v>
      </c>
      <c r="K107" s="2" t="s">
        <v>39</v>
      </c>
      <c r="L107" s="2" t="s">
        <v>34</v>
      </c>
      <c r="M107" s="2" t="s">
        <v>49</v>
      </c>
      <c r="N107" s="2" t="s">
        <v>50</v>
      </c>
      <c r="O107" s="2" t="s">
        <v>535</v>
      </c>
      <c r="P107" s="2" t="s">
        <v>38</v>
      </c>
      <c r="Q107" s="2" t="s">
        <v>39</v>
      </c>
      <c r="R107" s="2" t="s">
        <v>52</v>
      </c>
      <c r="S107" s="2" t="s">
        <v>33</v>
      </c>
      <c r="T107" s="2" t="s">
        <v>33</v>
      </c>
      <c r="U107" s="2" t="s">
        <v>67</v>
      </c>
      <c r="V107" s="2" t="s">
        <v>42</v>
      </c>
      <c r="W107" s="2" t="n">
        <v>0</v>
      </c>
      <c r="X107" s="2" t="n">
        <v>2</v>
      </c>
      <c r="Y107" s="2" t="s">
        <v>33</v>
      </c>
    </row>
    <row r="108" customFormat="false" ht="22.35" hidden="false" customHeight="false" outlineLevel="0" collapsed="false">
      <c r="A108" s="2" t="n">
        <v>115</v>
      </c>
      <c r="B108" s="2" t="s">
        <v>536</v>
      </c>
      <c r="C108" s="2" t="s">
        <v>537</v>
      </c>
      <c r="D108" s="2" t="n">
        <v>2025</v>
      </c>
      <c r="E108" s="2" t="s">
        <v>538</v>
      </c>
      <c r="F108" s="2" t="s">
        <v>539</v>
      </c>
      <c r="G108" s="2" t="s">
        <v>221</v>
      </c>
      <c r="H108" s="2" t="s">
        <v>30</v>
      </c>
      <c r="I108" s="2" t="s">
        <v>31</v>
      </c>
      <c r="J108" s="2" t="s">
        <v>32</v>
      </c>
      <c r="K108" s="2" t="s">
        <v>33</v>
      </c>
      <c r="L108" s="2" t="s">
        <v>34</v>
      </c>
      <c r="M108" s="2" t="s">
        <v>49</v>
      </c>
      <c r="N108" s="2" t="s">
        <v>50</v>
      </c>
      <c r="O108" s="2" t="s">
        <v>540</v>
      </c>
      <c r="P108" s="2" t="s">
        <v>38</v>
      </c>
      <c r="Q108" s="2" t="s">
        <v>39</v>
      </c>
      <c r="R108" s="2" t="s">
        <v>40</v>
      </c>
      <c r="S108" s="2" t="s">
        <v>39</v>
      </c>
      <c r="T108" s="2" t="s">
        <v>33</v>
      </c>
      <c r="U108" s="2" t="s">
        <v>541</v>
      </c>
      <c r="V108" s="2" t="s">
        <v>68</v>
      </c>
      <c r="W108" s="2" t="n">
        <v>0</v>
      </c>
      <c r="X108" s="2" t="n">
        <v>1</v>
      </c>
      <c r="Y108" s="2" t="s">
        <v>33</v>
      </c>
    </row>
    <row r="109" customFormat="false" ht="22.35" hidden="false" customHeight="false" outlineLevel="0" collapsed="false">
      <c r="A109" s="2" t="n">
        <v>116</v>
      </c>
      <c r="B109" s="2" t="s">
        <v>542</v>
      </c>
      <c r="C109" s="2" t="s">
        <v>543</v>
      </c>
      <c r="D109" s="2" t="n">
        <v>2024</v>
      </c>
      <c r="E109" s="2" t="s">
        <v>544</v>
      </c>
      <c r="F109" s="2" t="s">
        <v>545</v>
      </c>
      <c r="G109" s="2" t="s">
        <v>291</v>
      </c>
      <c r="H109" s="2" t="s">
        <v>30</v>
      </c>
      <c r="I109" s="2" t="s">
        <v>31</v>
      </c>
      <c r="J109" s="2" t="s">
        <v>79</v>
      </c>
      <c r="K109" s="2" t="s">
        <v>39</v>
      </c>
      <c r="L109" s="2" t="s">
        <v>34</v>
      </c>
      <c r="M109" s="2" t="s">
        <v>49</v>
      </c>
      <c r="N109" s="2" t="s">
        <v>50</v>
      </c>
      <c r="O109" s="2" t="s">
        <v>546</v>
      </c>
      <c r="P109" s="2" t="s">
        <v>38</v>
      </c>
      <c r="Q109" s="2" t="s">
        <v>39</v>
      </c>
      <c r="R109" s="2" t="s">
        <v>52</v>
      </c>
      <c r="S109" s="2" t="s">
        <v>33</v>
      </c>
      <c r="T109" s="2" t="s">
        <v>33</v>
      </c>
      <c r="U109" s="2" t="s">
        <v>41</v>
      </c>
      <c r="V109" s="2" t="s">
        <v>42</v>
      </c>
      <c r="W109" s="2" t="n">
        <v>0</v>
      </c>
      <c r="X109" s="2" t="n">
        <v>2</v>
      </c>
      <c r="Y109" s="2" t="s">
        <v>33</v>
      </c>
    </row>
    <row r="110" customFormat="false" ht="22.35" hidden="false" customHeight="false" outlineLevel="0" collapsed="false">
      <c r="A110" s="2" t="n">
        <v>117</v>
      </c>
      <c r="B110" s="2" t="s">
        <v>547</v>
      </c>
      <c r="C110" s="2" t="s">
        <v>548</v>
      </c>
      <c r="D110" s="2" t="n">
        <v>2022</v>
      </c>
      <c r="E110" s="2" t="s">
        <v>549</v>
      </c>
      <c r="F110" s="2" t="s">
        <v>550</v>
      </c>
      <c r="G110" s="2" t="s">
        <v>551</v>
      </c>
      <c r="H110" s="2" t="s">
        <v>30</v>
      </c>
      <c r="I110" s="2" t="s">
        <v>31</v>
      </c>
      <c r="J110" s="2" t="s">
        <v>79</v>
      </c>
      <c r="K110" s="2" t="s">
        <v>39</v>
      </c>
      <c r="L110" s="2" t="s">
        <v>34</v>
      </c>
      <c r="M110" s="2" t="s">
        <v>35</v>
      </c>
      <c r="N110" s="2" t="s">
        <v>179</v>
      </c>
      <c r="O110" s="2" t="s">
        <v>552</v>
      </c>
      <c r="P110" s="2" t="s">
        <v>38</v>
      </c>
      <c r="Q110" s="2" t="s">
        <v>39</v>
      </c>
      <c r="R110" s="2" t="s">
        <v>52</v>
      </c>
      <c r="S110" s="2" t="s">
        <v>33</v>
      </c>
      <c r="T110" s="2" t="s">
        <v>33</v>
      </c>
      <c r="U110" s="2" t="s">
        <v>53</v>
      </c>
      <c r="V110" s="2" t="s">
        <v>42</v>
      </c>
      <c r="W110" s="2" t="n">
        <v>0</v>
      </c>
      <c r="X110" s="2" t="n">
        <v>3</v>
      </c>
      <c r="Y110" s="2" t="s">
        <v>33</v>
      </c>
    </row>
    <row r="111" customFormat="false" ht="22.35" hidden="false" customHeight="false" outlineLevel="0" collapsed="false">
      <c r="A111" s="2" t="n">
        <v>118</v>
      </c>
      <c r="B111" s="2" t="s">
        <v>553</v>
      </c>
      <c r="C111" s="2" t="s">
        <v>554</v>
      </c>
      <c r="D111" s="2" t="n">
        <v>2023</v>
      </c>
      <c r="E111" s="2" t="s">
        <v>555</v>
      </c>
      <c r="F111" s="2" t="s">
        <v>556</v>
      </c>
      <c r="G111" s="2" t="s">
        <v>184</v>
      </c>
      <c r="H111" s="2" t="s">
        <v>153</v>
      </c>
      <c r="I111" s="2" t="s">
        <v>154</v>
      </c>
      <c r="J111" s="2" t="s">
        <v>32</v>
      </c>
      <c r="K111" s="2" t="s">
        <v>33</v>
      </c>
      <c r="L111" s="2" t="s">
        <v>117</v>
      </c>
      <c r="M111" s="2" t="s">
        <v>222</v>
      </c>
      <c r="N111" s="2" t="s">
        <v>50</v>
      </c>
      <c r="O111" s="2" t="s">
        <v>557</v>
      </c>
      <c r="P111" s="2" t="s">
        <v>94</v>
      </c>
      <c r="Q111" s="2" t="s">
        <v>39</v>
      </c>
      <c r="R111" s="2" t="s">
        <v>40</v>
      </c>
      <c r="S111" s="2" t="s">
        <v>33</v>
      </c>
      <c r="T111" s="2" t="s">
        <v>33</v>
      </c>
      <c r="U111" s="2" t="s">
        <v>53</v>
      </c>
      <c r="V111" s="2" t="s">
        <v>68</v>
      </c>
      <c r="W111" s="2" t="n">
        <v>0</v>
      </c>
      <c r="X111" s="2" t="n">
        <v>3</v>
      </c>
      <c r="Y111" s="2" t="s">
        <v>33</v>
      </c>
    </row>
    <row r="112" customFormat="false" ht="22.35" hidden="false" customHeight="false" outlineLevel="0" collapsed="false">
      <c r="A112" s="2" t="n">
        <v>119</v>
      </c>
      <c r="B112" s="2" t="s">
        <v>558</v>
      </c>
      <c r="C112" s="2" t="s">
        <v>559</v>
      </c>
      <c r="D112" s="2" t="n">
        <v>2025</v>
      </c>
      <c r="E112" s="2" t="s">
        <v>560</v>
      </c>
      <c r="F112" s="2" t="s">
        <v>561</v>
      </c>
      <c r="G112" s="2" t="s">
        <v>29</v>
      </c>
      <c r="H112" s="2" t="s">
        <v>30</v>
      </c>
      <c r="I112" s="2" t="s">
        <v>31</v>
      </c>
      <c r="J112" s="2" t="s">
        <v>100</v>
      </c>
      <c r="K112" s="2" t="s">
        <v>39</v>
      </c>
      <c r="L112" s="2" t="s">
        <v>34</v>
      </c>
      <c r="M112" s="2" t="s">
        <v>49</v>
      </c>
      <c r="N112" s="2" t="s">
        <v>50</v>
      </c>
      <c r="O112" s="2" t="s">
        <v>257</v>
      </c>
      <c r="P112" s="2" t="s">
        <v>66</v>
      </c>
      <c r="Q112" s="2" t="s">
        <v>39</v>
      </c>
      <c r="R112" s="2" t="s">
        <v>40</v>
      </c>
      <c r="S112" s="2" t="s">
        <v>33</v>
      </c>
      <c r="T112" s="2" t="s">
        <v>33</v>
      </c>
      <c r="U112" s="2" t="s">
        <v>53</v>
      </c>
      <c r="V112" s="2" t="s">
        <v>42</v>
      </c>
      <c r="W112" s="2" t="n">
        <v>0</v>
      </c>
      <c r="X112" s="2" t="n">
        <v>2</v>
      </c>
      <c r="Y112" s="2" t="s">
        <v>33</v>
      </c>
    </row>
    <row r="113" customFormat="false" ht="22.35" hidden="false" customHeight="false" outlineLevel="0" collapsed="false">
      <c r="A113" s="2" t="n">
        <v>120</v>
      </c>
      <c r="B113" s="2" t="s">
        <v>562</v>
      </c>
      <c r="C113" s="2" t="s">
        <v>563</v>
      </c>
      <c r="D113" s="2" t="n">
        <v>2025</v>
      </c>
      <c r="E113" s="2" t="s">
        <v>564</v>
      </c>
      <c r="F113" s="2" t="s">
        <v>565</v>
      </c>
      <c r="G113" s="2" t="s">
        <v>184</v>
      </c>
      <c r="H113" s="2" t="s">
        <v>73</v>
      </c>
      <c r="I113" s="2" t="s">
        <v>73</v>
      </c>
      <c r="J113" s="2" t="s">
        <v>32</v>
      </c>
      <c r="K113" s="2" t="s">
        <v>33</v>
      </c>
      <c r="L113" s="2" t="s">
        <v>117</v>
      </c>
      <c r="M113" s="2" t="s">
        <v>49</v>
      </c>
      <c r="N113" s="2" t="s">
        <v>50</v>
      </c>
      <c r="O113" s="2" t="s">
        <v>566</v>
      </c>
      <c r="P113" s="2" t="s">
        <v>66</v>
      </c>
      <c r="Q113" s="2" t="s">
        <v>39</v>
      </c>
      <c r="R113" s="2" t="s">
        <v>40</v>
      </c>
      <c r="S113" s="2" t="s">
        <v>33</v>
      </c>
      <c r="T113" s="2" t="s">
        <v>33</v>
      </c>
      <c r="U113" s="2" t="s">
        <v>67</v>
      </c>
      <c r="V113" s="2" t="s">
        <v>68</v>
      </c>
      <c r="W113" s="2" t="n">
        <v>1</v>
      </c>
      <c r="X113" s="2" t="n">
        <v>1</v>
      </c>
      <c r="Y113" s="2" t="s">
        <v>33</v>
      </c>
    </row>
    <row r="114" customFormat="false" ht="22.35" hidden="false" customHeight="false" outlineLevel="0" collapsed="false">
      <c r="A114" s="2" t="n">
        <v>121</v>
      </c>
      <c r="B114" s="2" t="s">
        <v>567</v>
      </c>
      <c r="C114" s="2" t="s">
        <v>568</v>
      </c>
      <c r="D114" s="2" t="n">
        <v>2022</v>
      </c>
      <c r="E114" s="2" t="s">
        <v>569</v>
      </c>
      <c r="F114" s="2" t="s">
        <v>570</v>
      </c>
      <c r="G114" s="2" t="s">
        <v>99</v>
      </c>
      <c r="H114" s="2" t="s">
        <v>30</v>
      </c>
      <c r="I114" s="2" t="s">
        <v>31</v>
      </c>
      <c r="J114" s="2" t="s">
        <v>123</v>
      </c>
      <c r="K114" s="2" t="s">
        <v>33</v>
      </c>
      <c r="L114" s="2" t="s">
        <v>63</v>
      </c>
      <c r="M114" s="2" t="s">
        <v>49</v>
      </c>
      <c r="N114" s="2" t="s">
        <v>118</v>
      </c>
      <c r="O114" s="2" t="s">
        <v>118</v>
      </c>
      <c r="P114" s="2" t="s">
        <v>38</v>
      </c>
      <c r="Q114" s="2" t="s">
        <v>39</v>
      </c>
      <c r="R114" s="2" t="s">
        <v>75</v>
      </c>
      <c r="S114" s="2" t="s">
        <v>33</v>
      </c>
      <c r="T114" s="2" t="s">
        <v>33</v>
      </c>
      <c r="U114" s="2" t="s">
        <v>53</v>
      </c>
      <c r="V114" s="2" t="s">
        <v>54</v>
      </c>
      <c r="W114" s="2" t="n">
        <v>0</v>
      </c>
      <c r="X114" s="2" t="n">
        <v>0</v>
      </c>
      <c r="Y114" s="2" t="s">
        <v>33</v>
      </c>
    </row>
    <row r="115" customFormat="false" ht="22.35" hidden="false" customHeight="false" outlineLevel="0" collapsed="false">
      <c r="A115" s="2" t="n">
        <v>122</v>
      </c>
      <c r="B115" s="2" t="s">
        <v>571</v>
      </c>
      <c r="C115" s="2" t="s">
        <v>572</v>
      </c>
      <c r="D115" s="2" t="n">
        <v>2023</v>
      </c>
      <c r="E115" s="2" t="s">
        <v>573</v>
      </c>
      <c r="F115" s="2" t="s">
        <v>570</v>
      </c>
      <c r="G115" s="2" t="s">
        <v>99</v>
      </c>
      <c r="H115" s="2" t="s">
        <v>30</v>
      </c>
      <c r="I115" s="2" t="s">
        <v>31</v>
      </c>
      <c r="J115" s="2" t="s">
        <v>79</v>
      </c>
      <c r="K115" s="2" t="s">
        <v>39</v>
      </c>
      <c r="L115" s="2" t="s">
        <v>34</v>
      </c>
      <c r="M115" s="2" t="s">
        <v>49</v>
      </c>
      <c r="N115" s="2" t="s">
        <v>50</v>
      </c>
      <c r="O115" s="2" t="s">
        <v>574</v>
      </c>
      <c r="P115" s="2" t="s">
        <v>38</v>
      </c>
      <c r="Q115" s="2" t="s">
        <v>39</v>
      </c>
      <c r="R115" s="2" t="s">
        <v>52</v>
      </c>
      <c r="S115" s="2" t="s">
        <v>33</v>
      </c>
      <c r="T115" s="2" t="s">
        <v>33</v>
      </c>
      <c r="U115" s="2" t="s">
        <v>41</v>
      </c>
      <c r="V115" s="2" t="s">
        <v>42</v>
      </c>
      <c r="W115" s="2" t="n">
        <v>0</v>
      </c>
      <c r="X115" s="2" t="n">
        <v>2</v>
      </c>
      <c r="Y115" s="2" t="s">
        <v>33</v>
      </c>
    </row>
    <row r="116" customFormat="false" ht="22.35" hidden="false" customHeight="false" outlineLevel="0" collapsed="false">
      <c r="A116" s="2" t="n">
        <v>123</v>
      </c>
      <c r="B116" s="2" t="s">
        <v>575</v>
      </c>
      <c r="C116" s="2" t="s">
        <v>44</v>
      </c>
      <c r="D116" s="2" t="n">
        <v>2025</v>
      </c>
      <c r="E116" s="2" t="s">
        <v>576</v>
      </c>
      <c r="F116" s="2" t="s">
        <v>577</v>
      </c>
      <c r="G116" s="2" t="s">
        <v>291</v>
      </c>
      <c r="H116" s="2" t="s">
        <v>30</v>
      </c>
      <c r="I116" s="2" t="s">
        <v>31</v>
      </c>
      <c r="J116" s="2" t="s">
        <v>32</v>
      </c>
      <c r="K116" s="2" t="s">
        <v>33</v>
      </c>
      <c r="L116" s="2" t="s">
        <v>34</v>
      </c>
      <c r="M116" s="2" t="s">
        <v>49</v>
      </c>
      <c r="N116" s="2" t="s">
        <v>50</v>
      </c>
      <c r="O116" s="2" t="s">
        <v>578</v>
      </c>
      <c r="P116" s="2" t="s">
        <v>38</v>
      </c>
      <c r="Q116" s="2" t="s">
        <v>39</v>
      </c>
      <c r="R116" s="2" t="s">
        <v>75</v>
      </c>
      <c r="S116" s="2" t="s">
        <v>33</v>
      </c>
      <c r="T116" s="2" t="s">
        <v>33</v>
      </c>
      <c r="U116" s="2" t="s">
        <v>53</v>
      </c>
      <c r="V116" s="2" t="s">
        <v>54</v>
      </c>
      <c r="W116" s="2" t="n">
        <v>0</v>
      </c>
      <c r="X116" s="2" t="n">
        <v>1</v>
      </c>
      <c r="Y116" s="2" t="s">
        <v>33</v>
      </c>
    </row>
    <row r="117" customFormat="false" ht="22.35" hidden="false" customHeight="false" outlineLevel="0" collapsed="false">
      <c r="A117" s="2" t="n">
        <v>124</v>
      </c>
      <c r="B117" s="2" t="s">
        <v>579</v>
      </c>
      <c r="C117" s="2" t="s">
        <v>580</v>
      </c>
      <c r="D117" s="2" t="n">
        <v>2026</v>
      </c>
      <c r="E117" s="2" t="s">
        <v>581</v>
      </c>
      <c r="F117" s="2" t="s">
        <v>582</v>
      </c>
      <c r="G117" s="2" t="s">
        <v>29</v>
      </c>
      <c r="H117" s="2" t="s">
        <v>30</v>
      </c>
      <c r="I117" s="2" t="s">
        <v>31</v>
      </c>
      <c r="J117" s="2" t="s">
        <v>100</v>
      </c>
      <c r="K117" s="2" t="s">
        <v>39</v>
      </c>
      <c r="L117" s="2" t="s">
        <v>110</v>
      </c>
      <c r="M117" s="2" t="s">
        <v>49</v>
      </c>
      <c r="N117" s="2" t="s">
        <v>50</v>
      </c>
      <c r="O117" s="2" t="s">
        <v>583</v>
      </c>
      <c r="P117" s="2" t="s">
        <v>38</v>
      </c>
      <c r="Q117" s="2" t="s">
        <v>39</v>
      </c>
      <c r="R117" s="2" t="s">
        <v>81</v>
      </c>
      <c r="S117" s="2" t="s">
        <v>39</v>
      </c>
      <c r="T117" s="2" t="s">
        <v>33</v>
      </c>
      <c r="U117" s="2" t="s">
        <v>41</v>
      </c>
      <c r="V117" s="2" t="s">
        <v>42</v>
      </c>
      <c r="W117" s="2" t="n">
        <v>1</v>
      </c>
      <c r="X117" s="2" t="n">
        <v>3</v>
      </c>
      <c r="Y117" s="2" t="s">
        <v>33</v>
      </c>
    </row>
    <row r="118" customFormat="false" ht="22.35" hidden="false" customHeight="false" outlineLevel="0" collapsed="false">
      <c r="A118" s="2" t="n">
        <v>125</v>
      </c>
      <c r="B118" s="2" t="s">
        <v>584</v>
      </c>
      <c r="C118" s="2" t="s">
        <v>585</v>
      </c>
      <c r="D118" s="2" t="n">
        <v>2025</v>
      </c>
      <c r="E118" s="2" t="s">
        <v>586</v>
      </c>
      <c r="F118" s="2" t="s">
        <v>587</v>
      </c>
      <c r="G118" s="2" t="s">
        <v>588</v>
      </c>
      <c r="H118" s="2" t="s">
        <v>30</v>
      </c>
      <c r="I118" s="2" t="s">
        <v>31</v>
      </c>
      <c r="J118" s="2" t="s">
        <v>123</v>
      </c>
      <c r="K118" s="2" t="s">
        <v>33</v>
      </c>
      <c r="L118" s="2" t="s">
        <v>34</v>
      </c>
      <c r="M118" s="2" t="s">
        <v>49</v>
      </c>
      <c r="N118" s="2" t="s">
        <v>50</v>
      </c>
      <c r="O118" s="2" t="s">
        <v>589</v>
      </c>
      <c r="P118" s="2" t="s">
        <v>38</v>
      </c>
      <c r="Q118" s="2" t="s">
        <v>39</v>
      </c>
      <c r="R118" s="2" t="s">
        <v>40</v>
      </c>
      <c r="S118" s="2" t="s">
        <v>33</v>
      </c>
      <c r="T118" s="2" t="s">
        <v>33</v>
      </c>
      <c r="U118" s="2" t="s">
        <v>67</v>
      </c>
      <c r="V118" s="2" t="s">
        <v>42</v>
      </c>
      <c r="W118" s="2" t="n">
        <v>0</v>
      </c>
      <c r="X118" s="2" t="n">
        <v>1</v>
      </c>
      <c r="Y118" s="2" t="s">
        <v>33</v>
      </c>
    </row>
    <row r="119" customFormat="false" ht="15" hidden="false" customHeight="false" outlineLevel="0" collapsed="false">
      <c r="A119" s="2" t="n">
        <v>126</v>
      </c>
      <c r="B119" s="2" t="s">
        <v>590</v>
      </c>
      <c r="C119" s="2" t="s">
        <v>591</v>
      </c>
      <c r="D119" s="2" t="n">
        <v>2023</v>
      </c>
      <c r="E119" s="2" t="s">
        <v>592</v>
      </c>
      <c r="F119" s="2" t="s">
        <v>593</v>
      </c>
      <c r="G119" s="2" t="s">
        <v>594</v>
      </c>
      <c r="H119" s="2" t="s">
        <v>321</v>
      </c>
      <c r="I119" s="2" t="s">
        <v>154</v>
      </c>
      <c r="J119" s="2" t="s">
        <v>100</v>
      </c>
      <c r="K119" s="2" t="s">
        <v>39</v>
      </c>
      <c r="L119" s="2" t="s">
        <v>117</v>
      </c>
      <c r="M119" s="2" t="s">
        <v>49</v>
      </c>
      <c r="N119" s="2" t="s">
        <v>50</v>
      </c>
      <c r="O119" s="2" t="s">
        <v>595</v>
      </c>
      <c r="P119" s="2" t="s">
        <v>202</v>
      </c>
      <c r="Q119" s="2" t="s">
        <v>33</v>
      </c>
      <c r="R119" s="2" t="s">
        <v>53</v>
      </c>
      <c r="S119" s="2" t="s">
        <v>33</v>
      </c>
      <c r="T119" s="2" t="s">
        <v>33</v>
      </c>
      <c r="U119" s="2" t="s">
        <v>53</v>
      </c>
      <c r="V119" s="2" t="s">
        <v>42</v>
      </c>
      <c r="W119" s="2" t="n">
        <v>0</v>
      </c>
      <c r="X119" s="2" t="n">
        <v>1</v>
      </c>
      <c r="Y119" s="2" t="s">
        <v>33</v>
      </c>
    </row>
    <row r="120" customFormat="false" ht="22.35" hidden="false" customHeight="false" outlineLevel="0" collapsed="false">
      <c r="A120" s="2" t="n">
        <v>127</v>
      </c>
      <c r="B120" s="2" t="s">
        <v>596</v>
      </c>
      <c r="C120" s="2" t="s">
        <v>597</v>
      </c>
      <c r="D120" s="2" t="n">
        <v>2025</v>
      </c>
      <c r="E120" s="2" t="s">
        <v>598</v>
      </c>
      <c r="F120" s="2" t="s">
        <v>599</v>
      </c>
      <c r="G120" s="2" t="s">
        <v>600</v>
      </c>
      <c r="H120" s="2" t="s">
        <v>30</v>
      </c>
      <c r="I120" s="2" t="s">
        <v>31</v>
      </c>
      <c r="J120" s="2" t="s">
        <v>123</v>
      </c>
      <c r="K120" s="2" t="s">
        <v>33</v>
      </c>
      <c r="L120" s="2" t="s">
        <v>34</v>
      </c>
      <c r="M120" s="2" t="s">
        <v>49</v>
      </c>
      <c r="N120" s="2" t="s">
        <v>50</v>
      </c>
      <c r="O120" s="2" t="s">
        <v>601</v>
      </c>
      <c r="P120" s="2" t="s">
        <v>38</v>
      </c>
      <c r="Q120" s="2" t="s">
        <v>39</v>
      </c>
      <c r="R120" s="2" t="s">
        <v>40</v>
      </c>
      <c r="S120" s="2" t="s">
        <v>33</v>
      </c>
      <c r="T120" s="2" t="s">
        <v>33</v>
      </c>
      <c r="U120" s="2" t="s">
        <v>41</v>
      </c>
      <c r="V120" s="2" t="s">
        <v>42</v>
      </c>
      <c r="W120" s="2" t="n">
        <v>0</v>
      </c>
      <c r="X120" s="2" t="n">
        <v>1</v>
      </c>
      <c r="Y120" s="2" t="s">
        <v>33</v>
      </c>
    </row>
    <row r="121" customFormat="false" ht="22.35" hidden="false" customHeight="false" outlineLevel="0" collapsed="false">
      <c r="A121" s="2" t="n">
        <v>128</v>
      </c>
      <c r="B121" s="2" t="s">
        <v>602</v>
      </c>
      <c r="C121" s="2" t="s">
        <v>603</v>
      </c>
      <c r="D121" s="2" t="n">
        <v>2024</v>
      </c>
      <c r="E121" s="2" t="s">
        <v>604</v>
      </c>
      <c r="F121" s="2" t="s">
        <v>605</v>
      </c>
      <c r="G121" s="2" t="s">
        <v>606</v>
      </c>
      <c r="H121" s="2" t="s">
        <v>30</v>
      </c>
      <c r="I121" s="2" t="s">
        <v>31</v>
      </c>
      <c r="J121" s="2" t="s">
        <v>100</v>
      </c>
      <c r="K121" s="2" t="s">
        <v>39</v>
      </c>
      <c r="L121" s="2" t="s">
        <v>34</v>
      </c>
      <c r="M121" s="2" t="s">
        <v>49</v>
      </c>
      <c r="N121" s="2" t="s">
        <v>50</v>
      </c>
      <c r="O121" s="2" t="s">
        <v>272</v>
      </c>
      <c r="P121" s="2" t="s">
        <v>38</v>
      </c>
      <c r="Q121" s="2" t="s">
        <v>39</v>
      </c>
      <c r="R121" s="2" t="s">
        <v>40</v>
      </c>
      <c r="S121" s="2" t="s">
        <v>33</v>
      </c>
      <c r="T121" s="2" t="s">
        <v>33</v>
      </c>
      <c r="U121" s="2" t="s">
        <v>53</v>
      </c>
      <c r="V121" s="2" t="s">
        <v>54</v>
      </c>
      <c r="W121" s="2" t="n">
        <v>0</v>
      </c>
      <c r="X121" s="2" t="n">
        <v>1</v>
      </c>
      <c r="Y121" s="2" t="s">
        <v>33</v>
      </c>
    </row>
    <row r="122" customFormat="false" ht="22.35" hidden="false" customHeight="false" outlineLevel="0" collapsed="false">
      <c r="A122" s="2" t="n">
        <v>129</v>
      </c>
      <c r="B122" s="2" t="s">
        <v>607</v>
      </c>
      <c r="C122" s="2" t="s">
        <v>608</v>
      </c>
      <c r="D122" s="2" t="n">
        <v>2025</v>
      </c>
      <c r="E122" s="2" t="s">
        <v>609</v>
      </c>
      <c r="F122" s="2" t="s">
        <v>605</v>
      </c>
      <c r="G122" s="2" t="s">
        <v>189</v>
      </c>
      <c r="H122" s="2" t="s">
        <v>30</v>
      </c>
      <c r="I122" s="2" t="s">
        <v>31</v>
      </c>
      <c r="J122" s="2" t="s">
        <v>123</v>
      </c>
      <c r="K122" s="2" t="s">
        <v>33</v>
      </c>
      <c r="L122" s="2" t="s">
        <v>110</v>
      </c>
      <c r="M122" s="2" t="s">
        <v>49</v>
      </c>
      <c r="N122" s="2" t="s">
        <v>118</v>
      </c>
      <c r="O122" s="2" t="s">
        <v>118</v>
      </c>
      <c r="P122" s="2" t="s">
        <v>38</v>
      </c>
      <c r="Q122" s="2" t="s">
        <v>39</v>
      </c>
      <c r="R122" s="2" t="s">
        <v>52</v>
      </c>
      <c r="S122" s="2" t="s">
        <v>33</v>
      </c>
      <c r="T122" s="2" t="s">
        <v>33</v>
      </c>
      <c r="U122" s="2" t="s">
        <v>41</v>
      </c>
      <c r="V122" s="2" t="s">
        <v>68</v>
      </c>
      <c r="W122" s="2" t="n">
        <v>0</v>
      </c>
      <c r="X122" s="2" t="n">
        <v>0</v>
      </c>
      <c r="Y122" s="2" t="s">
        <v>33</v>
      </c>
    </row>
    <row r="123" customFormat="false" ht="22.35" hidden="false" customHeight="false" outlineLevel="0" collapsed="false">
      <c r="A123" s="2" t="n">
        <v>130</v>
      </c>
      <c r="B123" s="2" t="s">
        <v>610</v>
      </c>
      <c r="C123" s="2" t="s">
        <v>611</v>
      </c>
      <c r="D123" s="2" t="n">
        <v>2025</v>
      </c>
      <c r="E123" s="2" t="s">
        <v>612</v>
      </c>
      <c r="F123" s="2" t="s">
        <v>613</v>
      </c>
      <c r="G123" s="2" t="s">
        <v>600</v>
      </c>
      <c r="H123" s="2" t="s">
        <v>30</v>
      </c>
      <c r="I123" s="2" t="s">
        <v>31</v>
      </c>
      <c r="J123" s="2" t="s">
        <v>614</v>
      </c>
      <c r="K123" s="2" t="s">
        <v>33</v>
      </c>
      <c r="L123" s="2" t="s">
        <v>34</v>
      </c>
      <c r="M123" s="2" t="s">
        <v>49</v>
      </c>
      <c r="N123" s="2" t="s">
        <v>50</v>
      </c>
      <c r="O123" s="2" t="s">
        <v>615</v>
      </c>
      <c r="P123" s="2" t="s">
        <v>38</v>
      </c>
      <c r="Q123" s="2" t="s">
        <v>39</v>
      </c>
      <c r="R123" s="2" t="s">
        <v>40</v>
      </c>
      <c r="S123" s="2" t="s">
        <v>33</v>
      </c>
      <c r="T123" s="2" t="s">
        <v>39</v>
      </c>
      <c r="U123" s="2" t="s">
        <v>41</v>
      </c>
      <c r="V123" s="2" t="s">
        <v>42</v>
      </c>
      <c r="W123" s="2" t="n">
        <v>1</v>
      </c>
      <c r="X123" s="2" t="n">
        <v>1</v>
      </c>
      <c r="Y123" s="2" t="s">
        <v>33</v>
      </c>
    </row>
    <row r="124" customFormat="false" ht="22.35" hidden="false" customHeight="false" outlineLevel="0" collapsed="false">
      <c r="A124" s="2" t="n">
        <v>131</v>
      </c>
      <c r="B124" s="2" t="s">
        <v>616</v>
      </c>
      <c r="C124" s="2" t="s">
        <v>617</v>
      </c>
      <c r="D124" s="2" t="n">
        <v>2024</v>
      </c>
      <c r="E124" s="2" t="s">
        <v>618</v>
      </c>
      <c r="F124" s="2" t="s">
        <v>619</v>
      </c>
      <c r="G124" s="2" t="s">
        <v>291</v>
      </c>
      <c r="H124" s="2" t="s">
        <v>153</v>
      </c>
      <c r="I124" s="2" t="s">
        <v>31</v>
      </c>
      <c r="J124" s="2" t="s">
        <v>32</v>
      </c>
      <c r="K124" s="2" t="s">
        <v>33</v>
      </c>
      <c r="L124" s="2" t="s">
        <v>63</v>
      </c>
      <c r="M124" s="2" t="s">
        <v>49</v>
      </c>
      <c r="N124" s="2" t="s">
        <v>50</v>
      </c>
      <c r="O124" s="2" t="s">
        <v>620</v>
      </c>
      <c r="P124" s="2" t="s">
        <v>38</v>
      </c>
      <c r="Q124" s="2" t="s">
        <v>39</v>
      </c>
      <c r="R124" s="2" t="s">
        <v>40</v>
      </c>
      <c r="S124" s="2" t="s">
        <v>33</v>
      </c>
      <c r="T124" s="2" t="s">
        <v>33</v>
      </c>
      <c r="U124" s="2" t="s">
        <v>41</v>
      </c>
      <c r="V124" s="2" t="s">
        <v>68</v>
      </c>
      <c r="W124" s="2" t="n">
        <v>0</v>
      </c>
      <c r="X124" s="2" t="n">
        <v>2</v>
      </c>
      <c r="Y124" s="2" t="s">
        <v>33</v>
      </c>
    </row>
    <row r="125" customFormat="false" ht="22.35" hidden="false" customHeight="false" outlineLevel="0" collapsed="false">
      <c r="A125" s="2" t="n">
        <v>132</v>
      </c>
      <c r="B125" s="2" t="s">
        <v>621</v>
      </c>
      <c r="C125" s="2" t="s">
        <v>622</v>
      </c>
      <c r="D125" s="2" t="n">
        <v>2025</v>
      </c>
      <c r="E125" s="2" t="s">
        <v>623</v>
      </c>
      <c r="F125" s="2" t="s">
        <v>624</v>
      </c>
      <c r="G125" s="2" t="s">
        <v>588</v>
      </c>
      <c r="H125" s="2" t="s">
        <v>30</v>
      </c>
      <c r="I125" s="2" t="s">
        <v>31</v>
      </c>
      <c r="J125" s="2" t="s">
        <v>123</v>
      </c>
      <c r="K125" s="2" t="s">
        <v>33</v>
      </c>
      <c r="L125" s="2" t="s">
        <v>34</v>
      </c>
      <c r="M125" s="2" t="s">
        <v>49</v>
      </c>
      <c r="N125" s="2" t="s">
        <v>50</v>
      </c>
      <c r="O125" s="2" t="s">
        <v>625</v>
      </c>
      <c r="P125" s="2" t="s">
        <v>38</v>
      </c>
      <c r="Q125" s="2" t="s">
        <v>39</v>
      </c>
      <c r="R125" s="2" t="s">
        <v>40</v>
      </c>
      <c r="S125" s="2" t="s">
        <v>33</v>
      </c>
      <c r="T125" s="2" t="s">
        <v>33</v>
      </c>
      <c r="U125" s="2" t="s">
        <v>67</v>
      </c>
      <c r="V125" s="2" t="s">
        <v>42</v>
      </c>
      <c r="W125" s="2" t="n">
        <v>0</v>
      </c>
      <c r="X125" s="2" t="n">
        <v>1</v>
      </c>
      <c r="Y125" s="2" t="s">
        <v>33</v>
      </c>
    </row>
    <row r="126" customFormat="false" ht="22.35" hidden="false" customHeight="false" outlineLevel="0" collapsed="false">
      <c r="A126" s="2" t="n">
        <v>133</v>
      </c>
      <c r="B126" s="2" t="s">
        <v>626</v>
      </c>
      <c r="C126" s="2" t="s">
        <v>627</v>
      </c>
      <c r="D126" s="2" t="n">
        <v>2024</v>
      </c>
      <c r="E126" s="2" t="s">
        <v>628</v>
      </c>
      <c r="F126" s="2" t="s">
        <v>629</v>
      </c>
      <c r="G126" s="2" t="s">
        <v>630</v>
      </c>
      <c r="H126" s="2" t="s">
        <v>30</v>
      </c>
      <c r="I126" s="2" t="s">
        <v>31</v>
      </c>
      <c r="J126" s="2" t="s">
        <v>48</v>
      </c>
      <c r="K126" s="2" t="s">
        <v>33</v>
      </c>
      <c r="L126" s="2" t="s">
        <v>34</v>
      </c>
      <c r="M126" s="2" t="s">
        <v>49</v>
      </c>
      <c r="N126" s="2" t="s">
        <v>50</v>
      </c>
      <c r="O126" s="2" t="s">
        <v>327</v>
      </c>
      <c r="P126" s="2" t="s">
        <v>66</v>
      </c>
      <c r="Q126" s="2" t="s">
        <v>39</v>
      </c>
      <c r="R126" s="2" t="s">
        <v>52</v>
      </c>
      <c r="S126" s="2" t="s">
        <v>33</v>
      </c>
      <c r="T126" s="2" t="s">
        <v>33</v>
      </c>
      <c r="U126" s="2" t="s">
        <v>53</v>
      </c>
      <c r="V126" s="2" t="s">
        <v>68</v>
      </c>
      <c r="W126" s="2" t="n">
        <v>0</v>
      </c>
      <c r="X126" s="2" t="n">
        <v>3</v>
      </c>
      <c r="Y126" s="2" t="s">
        <v>33</v>
      </c>
    </row>
    <row r="127" customFormat="false" ht="22.35" hidden="false" customHeight="false" outlineLevel="0" collapsed="false">
      <c r="A127" s="2" t="n">
        <v>134</v>
      </c>
      <c r="B127" s="2" t="s">
        <v>631</v>
      </c>
      <c r="C127" s="2" t="s">
        <v>543</v>
      </c>
      <c r="D127" s="2" t="n">
        <v>2022</v>
      </c>
      <c r="E127" s="2" t="s">
        <v>632</v>
      </c>
      <c r="F127" s="2" t="s">
        <v>633</v>
      </c>
      <c r="G127" s="2" t="s">
        <v>72</v>
      </c>
      <c r="H127" s="2" t="s">
        <v>30</v>
      </c>
      <c r="I127" s="2" t="s">
        <v>31</v>
      </c>
      <c r="J127" s="2" t="s">
        <v>32</v>
      </c>
      <c r="K127" s="2" t="s">
        <v>33</v>
      </c>
      <c r="L127" s="2" t="s">
        <v>34</v>
      </c>
      <c r="M127" s="2" t="s">
        <v>49</v>
      </c>
      <c r="N127" s="2" t="s">
        <v>50</v>
      </c>
      <c r="O127" s="2" t="s">
        <v>257</v>
      </c>
      <c r="P127" s="2" t="s">
        <v>38</v>
      </c>
      <c r="Q127" s="2" t="s">
        <v>39</v>
      </c>
      <c r="R127" s="2" t="s">
        <v>52</v>
      </c>
      <c r="S127" s="2" t="s">
        <v>33</v>
      </c>
      <c r="T127" s="2" t="s">
        <v>33</v>
      </c>
      <c r="U127" s="2" t="s">
        <v>41</v>
      </c>
      <c r="V127" s="2" t="s">
        <v>42</v>
      </c>
      <c r="W127" s="2" t="n">
        <v>0</v>
      </c>
      <c r="X127" s="2" t="n">
        <v>3</v>
      </c>
      <c r="Y127" s="2" t="s">
        <v>33</v>
      </c>
    </row>
    <row r="128" customFormat="false" ht="22.35" hidden="false" customHeight="false" outlineLevel="0" collapsed="false">
      <c r="A128" s="2" t="n">
        <v>135</v>
      </c>
      <c r="B128" s="2" t="s">
        <v>634</v>
      </c>
      <c r="C128" s="2" t="s">
        <v>635</v>
      </c>
      <c r="D128" s="2" t="n">
        <v>2023</v>
      </c>
      <c r="E128" s="2" t="s">
        <v>636</v>
      </c>
      <c r="F128" s="2" t="s">
        <v>637</v>
      </c>
      <c r="G128" s="2" t="s">
        <v>184</v>
      </c>
      <c r="H128" s="2" t="s">
        <v>30</v>
      </c>
      <c r="I128" s="2" t="s">
        <v>31</v>
      </c>
      <c r="J128" s="2" t="s">
        <v>79</v>
      </c>
      <c r="K128" s="2" t="s">
        <v>39</v>
      </c>
      <c r="L128" s="2" t="s">
        <v>34</v>
      </c>
      <c r="M128" s="2" t="s">
        <v>49</v>
      </c>
      <c r="N128" s="2" t="s">
        <v>50</v>
      </c>
      <c r="O128" s="2" t="s">
        <v>638</v>
      </c>
      <c r="P128" s="2" t="s">
        <v>38</v>
      </c>
      <c r="Q128" s="2" t="s">
        <v>39</v>
      </c>
      <c r="R128" s="2" t="s">
        <v>81</v>
      </c>
      <c r="S128" s="2" t="s">
        <v>39</v>
      </c>
      <c r="T128" s="2" t="s">
        <v>33</v>
      </c>
      <c r="U128" s="2" t="s">
        <v>67</v>
      </c>
      <c r="V128" s="2" t="s">
        <v>68</v>
      </c>
      <c r="W128" s="2" t="n">
        <v>0</v>
      </c>
      <c r="X128" s="2" t="n">
        <v>3</v>
      </c>
      <c r="Y128" s="2" t="s">
        <v>33</v>
      </c>
    </row>
    <row r="129" customFormat="false" ht="22.35" hidden="false" customHeight="false" outlineLevel="0" collapsed="false">
      <c r="A129" s="2" t="n">
        <v>136</v>
      </c>
      <c r="B129" s="2" t="s">
        <v>639</v>
      </c>
      <c r="C129" s="2" t="s">
        <v>333</v>
      </c>
      <c r="D129" s="2" t="n">
        <v>2023</v>
      </c>
      <c r="E129" s="2" t="s">
        <v>640</v>
      </c>
      <c r="F129" s="2" t="s">
        <v>637</v>
      </c>
      <c r="G129" s="2" t="s">
        <v>128</v>
      </c>
      <c r="H129" s="2" t="s">
        <v>321</v>
      </c>
      <c r="I129" s="2" t="s">
        <v>154</v>
      </c>
      <c r="J129" s="2" t="s">
        <v>62</v>
      </c>
      <c r="K129" s="2" t="s">
        <v>39</v>
      </c>
      <c r="L129" s="2" t="s">
        <v>34</v>
      </c>
      <c r="M129" s="2" t="s">
        <v>35</v>
      </c>
      <c r="N129" s="2" t="s">
        <v>36</v>
      </c>
      <c r="O129" s="2" t="s">
        <v>118</v>
      </c>
      <c r="P129" s="2" t="s">
        <v>202</v>
      </c>
      <c r="Q129" s="2" t="s">
        <v>39</v>
      </c>
      <c r="R129" s="2" t="s">
        <v>52</v>
      </c>
      <c r="S129" s="2" t="s">
        <v>33</v>
      </c>
      <c r="T129" s="2" t="s">
        <v>33</v>
      </c>
      <c r="U129" s="2" t="s">
        <v>67</v>
      </c>
      <c r="V129" s="2" t="s">
        <v>42</v>
      </c>
      <c r="W129" s="2" t="n">
        <v>0</v>
      </c>
      <c r="X129" s="2" t="n">
        <v>0</v>
      </c>
      <c r="Y129" s="2" t="s">
        <v>33</v>
      </c>
    </row>
    <row r="130" customFormat="false" ht="22.35" hidden="false" customHeight="false" outlineLevel="0" collapsed="false">
      <c r="A130" s="2" t="n">
        <v>137</v>
      </c>
      <c r="B130" s="2" t="s">
        <v>641</v>
      </c>
      <c r="C130" s="2" t="s">
        <v>642</v>
      </c>
      <c r="D130" s="2" t="n">
        <v>2025</v>
      </c>
      <c r="E130" s="2" t="s">
        <v>643</v>
      </c>
      <c r="F130" s="2" t="s">
        <v>644</v>
      </c>
      <c r="G130" s="2" t="s">
        <v>47</v>
      </c>
      <c r="H130" s="2" t="s">
        <v>30</v>
      </c>
      <c r="I130" s="2" t="s">
        <v>31</v>
      </c>
      <c r="J130" s="2" t="s">
        <v>614</v>
      </c>
      <c r="K130" s="2" t="s">
        <v>33</v>
      </c>
      <c r="L130" s="2" t="s">
        <v>34</v>
      </c>
      <c r="M130" s="2" t="s">
        <v>49</v>
      </c>
      <c r="N130" s="2" t="s">
        <v>50</v>
      </c>
      <c r="O130" s="2" t="s">
        <v>257</v>
      </c>
      <c r="P130" s="2" t="s">
        <v>38</v>
      </c>
      <c r="Q130" s="2" t="s">
        <v>39</v>
      </c>
      <c r="R130" s="2" t="s">
        <v>40</v>
      </c>
      <c r="S130" s="2" t="s">
        <v>33</v>
      </c>
      <c r="T130" s="2" t="s">
        <v>33</v>
      </c>
      <c r="U130" s="2" t="s">
        <v>41</v>
      </c>
      <c r="V130" s="2" t="s">
        <v>68</v>
      </c>
      <c r="W130" s="2" t="n">
        <v>0</v>
      </c>
      <c r="X130" s="2" t="n">
        <v>1</v>
      </c>
      <c r="Y130" s="2" t="s">
        <v>33</v>
      </c>
    </row>
    <row r="131" customFormat="false" ht="22.35" hidden="false" customHeight="false" outlineLevel="0" collapsed="false">
      <c r="A131" s="2" t="n">
        <v>138</v>
      </c>
      <c r="B131" s="2" t="s">
        <v>645</v>
      </c>
      <c r="C131" s="2" t="s">
        <v>646</v>
      </c>
      <c r="D131" s="2" t="n">
        <v>2023</v>
      </c>
      <c r="E131" s="2" t="s">
        <v>647</v>
      </c>
      <c r="F131" s="2" t="s">
        <v>648</v>
      </c>
      <c r="G131" s="2" t="s">
        <v>29</v>
      </c>
      <c r="H131" s="2" t="s">
        <v>30</v>
      </c>
      <c r="I131" s="2" t="s">
        <v>31</v>
      </c>
      <c r="J131" s="2" t="s">
        <v>100</v>
      </c>
      <c r="K131" s="2" t="s">
        <v>39</v>
      </c>
      <c r="L131" s="2" t="s">
        <v>63</v>
      </c>
      <c r="M131" s="2" t="s">
        <v>49</v>
      </c>
      <c r="N131" s="2" t="s">
        <v>50</v>
      </c>
      <c r="O131" s="2" t="s">
        <v>649</v>
      </c>
      <c r="P131" s="2" t="s">
        <v>66</v>
      </c>
      <c r="Q131" s="2" t="s">
        <v>39</v>
      </c>
      <c r="R131" s="2" t="s">
        <v>52</v>
      </c>
      <c r="S131" s="2" t="s">
        <v>33</v>
      </c>
      <c r="T131" s="2" t="s">
        <v>33</v>
      </c>
      <c r="U131" s="2" t="s">
        <v>67</v>
      </c>
      <c r="V131" s="2" t="s">
        <v>68</v>
      </c>
      <c r="W131" s="2" t="n">
        <v>0</v>
      </c>
      <c r="X131" s="2" t="n">
        <v>2</v>
      </c>
      <c r="Y131" s="2" t="s">
        <v>33</v>
      </c>
    </row>
    <row r="132" customFormat="false" ht="22.35" hidden="false" customHeight="false" outlineLevel="0" collapsed="false">
      <c r="A132" s="2" t="n">
        <v>139</v>
      </c>
      <c r="B132" s="2" t="s">
        <v>650</v>
      </c>
      <c r="C132" s="2" t="s">
        <v>651</v>
      </c>
      <c r="D132" s="2" t="n">
        <v>2025</v>
      </c>
      <c r="E132" s="2" t="s">
        <v>652</v>
      </c>
      <c r="F132" s="2" t="s">
        <v>653</v>
      </c>
      <c r="G132" s="2" t="s">
        <v>29</v>
      </c>
      <c r="H132" s="2" t="s">
        <v>30</v>
      </c>
      <c r="I132" s="2" t="s">
        <v>31</v>
      </c>
      <c r="J132" s="2" t="s">
        <v>32</v>
      </c>
      <c r="K132" s="2" t="s">
        <v>33</v>
      </c>
      <c r="L132" s="2" t="s">
        <v>34</v>
      </c>
      <c r="M132" s="2" t="s">
        <v>49</v>
      </c>
      <c r="N132" s="2" t="s">
        <v>50</v>
      </c>
      <c r="O132" s="2" t="s">
        <v>327</v>
      </c>
      <c r="P132" s="2" t="s">
        <v>38</v>
      </c>
      <c r="Q132" s="2" t="s">
        <v>39</v>
      </c>
      <c r="R132" s="2" t="s">
        <v>40</v>
      </c>
      <c r="S132" s="2" t="s">
        <v>33</v>
      </c>
      <c r="T132" s="2" t="s">
        <v>33</v>
      </c>
      <c r="U132" s="2" t="s">
        <v>41</v>
      </c>
      <c r="V132" s="2" t="s">
        <v>42</v>
      </c>
      <c r="W132" s="2" t="n">
        <v>0</v>
      </c>
      <c r="X132" s="2" t="n">
        <v>1</v>
      </c>
      <c r="Y132" s="2" t="s">
        <v>33</v>
      </c>
    </row>
    <row r="133" customFormat="false" ht="22.35" hidden="false" customHeight="false" outlineLevel="0" collapsed="false">
      <c r="A133" s="2" t="n">
        <v>140</v>
      </c>
      <c r="B133" s="2" t="s">
        <v>654</v>
      </c>
      <c r="C133" s="2" t="s">
        <v>655</v>
      </c>
      <c r="D133" s="2" t="n">
        <v>2025</v>
      </c>
      <c r="E133" s="2" t="s">
        <v>656</v>
      </c>
      <c r="F133" s="2" t="s">
        <v>657</v>
      </c>
      <c r="G133" s="2" t="s">
        <v>99</v>
      </c>
      <c r="H133" s="2" t="s">
        <v>30</v>
      </c>
      <c r="I133" s="2" t="s">
        <v>31</v>
      </c>
      <c r="J133" s="2" t="s">
        <v>123</v>
      </c>
      <c r="K133" s="2" t="s">
        <v>33</v>
      </c>
      <c r="L133" s="2" t="s">
        <v>34</v>
      </c>
      <c r="M133" s="2" t="s">
        <v>49</v>
      </c>
      <c r="N133" s="2" t="s">
        <v>50</v>
      </c>
      <c r="O133" s="2" t="s">
        <v>118</v>
      </c>
      <c r="P133" s="2" t="s">
        <v>38</v>
      </c>
      <c r="Q133" s="2" t="s">
        <v>39</v>
      </c>
      <c r="R133" s="2" t="s">
        <v>52</v>
      </c>
      <c r="S133" s="2" t="s">
        <v>33</v>
      </c>
      <c r="T133" s="2" t="s">
        <v>33</v>
      </c>
      <c r="U133" s="2" t="s">
        <v>53</v>
      </c>
      <c r="V133" s="2" t="s">
        <v>42</v>
      </c>
      <c r="W133" s="2" t="n">
        <v>0</v>
      </c>
      <c r="X133" s="2" t="n">
        <v>0</v>
      </c>
      <c r="Y133" s="2" t="s">
        <v>33</v>
      </c>
    </row>
    <row r="134" customFormat="false" ht="22.35" hidden="false" customHeight="false" outlineLevel="0" collapsed="false">
      <c r="A134" s="2" t="n">
        <v>141</v>
      </c>
      <c r="B134" s="2" t="s">
        <v>658</v>
      </c>
      <c r="C134" s="2" t="s">
        <v>659</v>
      </c>
      <c r="D134" s="2" t="n">
        <v>2026</v>
      </c>
      <c r="E134" s="2" t="s">
        <v>660</v>
      </c>
      <c r="F134" s="2" t="s">
        <v>661</v>
      </c>
      <c r="G134" s="2" t="s">
        <v>29</v>
      </c>
      <c r="H134" s="2" t="s">
        <v>30</v>
      </c>
      <c r="I134" s="2" t="s">
        <v>31</v>
      </c>
      <c r="J134" s="2" t="s">
        <v>32</v>
      </c>
      <c r="K134" s="2" t="s">
        <v>33</v>
      </c>
      <c r="L134" s="2" t="s">
        <v>34</v>
      </c>
      <c r="M134" s="2" t="s">
        <v>49</v>
      </c>
      <c r="N134" s="2" t="s">
        <v>50</v>
      </c>
      <c r="O134" s="2" t="s">
        <v>118</v>
      </c>
      <c r="P134" s="2" t="s">
        <v>38</v>
      </c>
      <c r="Q134" s="2" t="s">
        <v>39</v>
      </c>
      <c r="R134" s="2" t="s">
        <v>52</v>
      </c>
      <c r="S134" s="2" t="s">
        <v>33</v>
      </c>
      <c r="T134" s="2" t="s">
        <v>33</v>
      </c>
      <c r="U134" s="2" t="s">
        <v>67</v>
      </c>
      <c r="V134" s="2" t="s">
        <v>42</v>
      </c>
      <c r="W134" s="2" t="n">
        <v>0</v>
      </c>
      <c r="X134" s="2" t="n">
        <v>0</v>
      </c>
      <c r="Y134" s="2" t="s">
        <v>33</v>
      </c>
    </row>
  </sheetData>
  <autoFilter ref="A1:Y13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3" t="s">
        <v>662</v>
      </c>
    </row>
    <row r="2" customFormat="false" ht="15" hidden="false" customHeight="false" outlineLevel="0" collapsed="false">
      <c r="A2" s="4" t="s">
        <v>663</v>
      </c>
    </row>
    <row r="3" customFormat="false" ht="15" hidden="false" customHeight="false" outlineLevel="0" collapsed="false">
      <c r="A3" s="4"/>
    </row>
    <row r="4" customFormat="false" ht="15" hidden="false" customHeight="false" outlineLevel="0" collapsed="false">
      <c r="A4" s="3" t="s">
        <v>664</v>
      </c>
    </row>
    <row r="5" customFormat="false" ht="15" hidden="false" customHeight="false" outlineLevel="0" collapsed="false">
      <c r="A5" s="4" t="s">
        <v>665</v>
      </c>
    </row>
    <row r="6" customFormat="false" ht="15" hidden="false" customHeight="false" outlineLevel="0" collapsed="false">
      <c r="A6" s="4" t="s">
        <v>666</v>
      </c>
    </row>
    <row r="7" customFormat="false" ht="15" hidden="false" customHeight="false" outlineLevel="0" collapsed="false">
      <c r="A7" s="4"/>
    </row>
    <row r="8" customFormat="false" ht="15" hidden="false" customHeight="false" outlineLevel="0" collapsed="false">
      <c r="A8" s="3" t="s">
        <v>667</v>
      </c>
    </row>
    <row r="9" customFormat="false" ht="46.25" hidden="false" customHeight="false" outlineLevel="0" collapsed="false">
      <c r="A9" s="4" t="s">
        <v>668</v>
      </c>
    </row>
    <row r="10" customFormat="false" ht="23.85" hidden="false" customHeight="false" outlineLevel="0" collapsed="false">
      <c r="A10" s="4" t="s">
        <v>669</v>
      </c>
    </row>
    <row r="11" customFormat="false" ht="23.85" hidden="false" customHeight="false" outlineLevel="0" collapsed="false">
      <c r="A11" s="4" t="s">
        <v>670</v>
      </c>
    </row>
    <row r="12" customFormat="false" ht="15" hidden="false" customHeight="false" outlineLevel="0" collapsed="false">
      <c r="A12" s="4" t="s">
        <v>671</v>
      </c>
    </row>
    <row r="13" customFormat="false" ht="15" hidden="false" customHeight="false" outlineLevel="0" collapsed="false">
      <c r="A13" s="4"/>
    </row>
    <row r="14" customFormat="false" ht="15" hidden="false" customHeight="false" outlineLevel="0" collapsed="false">
      <c r="A14" s="3" t="s">
        <v>672</v>
      </c>
    </row>
    <row r="15" customFormat="false" ht="23.85" hidden="false" customHeight="false" outlineLevel="0" collapsed="false">
      <c r="A15" s="4" t="s">
        <v>673</v>
      </c>
    </row>
    <row r="16" customFormat="false" ht="23.85" hidden="false" customHeight="false" outlineLevel="0" collapsed="false">
      <c r="A16" s="4" t="s">
        <v>674</v>
      </c>
    </row>
    <row r="17" customFormat="false" ht="15" hidden="false" customHeight="false" outlineLevel="0" collapsed="false">
      <c r="A17" s="4" t="s">
        <v>675</v>
      </c>
    </row>
    <row r="18" customFormat="false" ht="23.85" hidden="false" customHeight="false" outlineLevel="0" collapsed="false">
      <c r="A18" s="4" t="s">
        <v>676</v>
      </c>
    </row>
    <row r="19" customFormat="false" ht="15" hidden="false" customHeight="false" outlineLevel="0" collapsed="false">
      <c r="A19" s="4" t="s">
        <v>677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30"/>
    <col collapsed="false" customWidth="true" hidden="false" outlineLevel="0" max="3" min="3" style="0" width="38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8"/>
  </cols>
  <sheetData>
    <row r="1" customFormat="false" ht="15" hidden="false" customHeight="false" outlineLevel="0" collapsed="false">
      <c r="A1" s="5" t="s">
        <v>678</v>
      </c>
      <c r="B1" s="5" t="s">
        <v>679</v>
      </c>
      <c r="C1" s="5" t="s">
        <v>680</v>
      </c>
      <c r="D1" s="5" t="s">
        <v>681</v>
      </c>
      <c r="E1" s="5" t="s">
        <v>682</v>
      </c>
      <c r="F1" s="5" t="s">
        <v>683</v>
      </c>
    </row>
    <row r="2" customFormat="false" ht="15" hidden="false" customHeight="false" outlineLevel="0" collapsed="false">
      <c r="A2" s="6" t="s">
        <v>684</v>
      </c>
      <c r="B2" s="6" t="s">
        <v>1</v>
      </c>
      <c r="C2" s="6" t="s">
        <v>685</v>
      </c>
      <c r="D2" s="6" t="n">
        <f aca="false">COUNTA(S1_included_studies!$B$2:$B$134)</f>
        <v>133</v>
      </c>
      <c r="E2" s="6" t="n">
        <v>133</v>
      </c>
      <c r="F2" s="6" t="str">
        <f aca="false">IF(D2=E2,"yes","NO")</f>
        <v>yes</v>
      </c>
    </row>
    <row r="3" customFormat="false" ht="15" hidden="false" customHeight="false" outlineLevel="0" collapsed="false">
      <c r="A3" s="6" t="s">
        <v>30</v>
      </c>
      <c r="B3" s="6" t="s">
        <v>7</v>
      </c>
      <c r="C3" s="6" t="s">
        <v>30</v>
      </c>
      <c r="D3" s="6" t="n">
        <f aca="false">COUNTIF(S1_included_studies!$H$2:$H$134,C3)</f>
        <v>96</v>
      </c>
      <c r="E3" s="6" t="n">
        <v>96</v>
      </c>
      <c r="F3" s="6" t="str">
        <f aca="false">IF(D3=E3,"yes","NO")</f>
        <v>yes</v>
      </c>
    </row>
    <row r="4" customFormat="false" ht="15" hidden="false" customHeight="false" outlineLevel="0" collapsed="false">
      <c r="A4" s="6" t="s">
        <v>73</v>
      </c>
      <c r="B4" s="6" t="s">
        <v>7</v>
      </c>
      <c r="C4" s="6" t="s">
        <v>73</v>
      </c>
      <c r="D4" s="6" t="n">
        <f aca="false">COUNTIF(S1_included_studies!$H$2:$H$134,C4)</f>
        <v>15</v>
      </c>
      <c r="E4" s="6" t="n">
        <v>15</v>
      </c>
      <c r="F4" s="6" t="str">
        <f aca="false">IF(D4=E4,"yes","NO")</f>
        <v>yes</v>
      </c>
    </row>
    <row r="5" customFormat="false" ht="15" hidden="false" customHeight="false" outlineLevel="0" collapsed="false">
      <c r="A5" s="6" t="s">
        <v>321</v>
      </c>
      <c r="B5" s="6" t="s">
        <v>7</v>
      </c>
      <c r="C5" s="6" t="s">
        <v>321</v>
      </c>
      <c r="D5" s="6" t="n">
        <f aca="false">COUNTIF(S1_included_studies!$H$2:$H$134,C5)</f>
        <v>7</v>
      </c>
      <c r="E5" s="6" t="n">
        <v>7</v>
      </c>
      <c r="F5" s="6" t="str">
        <f aca="false">IF(D5=E5,"yes","NO")</f>
        <v>yes</v>
      </c>
    </row>
    <row r="6" customFormat="false" ht="15" hidden="false" customHeight="false" outlineLevel="0" collapsed="false">
      <c r="A6" s="6" t="s">
        <v>686</v>
      </c>
      <c r="B6" s="6" t="s">
        <v>8</v>
      </c>
      <c r="C6" s="6" t="s">
        <v>31</v>
      </c>
      <c r="D6" s="6" t="n">
        <f aca="false">COUNTIF(S1_included_studies!$I$2:$I$134,C6)</f>
        <v>98</v>
      </c>
      <c r="E6" s="6" t="n">
        <v>98</v>
      </c>
      <c r="F6" s="6" t="str">
        <f aca="false">IF(D6=E6,"yes","NO")</f>
        <v>yes</v>
      </c>
    </row>
    <row r="7" customFormat="false" ht="15" hidden="false" customHeight="false" outlineLevel="0" collapsed="false">
      <c r="A7" s="6" t="s">
        <v>32</v>
      </c>
      <c r="B7" s="6" t="s">
        <v>9</v>
      </c>
      <c r="C7" s="6" t="s">
        <v>32</v>
      </c>
      <c r="D7" s="6" t="n">
        <f aca="false">COUNTIF(S1_included_studies!$J$2:$J$134,C7)</f>
        <v>36</v>
      </c>
      <c r="E7" s="6" t="n">
        <v>36</v>
      </c>
      <c r="F7" s="6" t="str">
        <f aca="false">IF(D7=E7,"yes","NO")</f>
        <v>yes</v>
      </c>
    </row>
    <row r="8" customFormat="false" ht="15" hidden="false" customHeight="false" outlineLevel="0" collapsed="false">
      <c r="A8" s="6" t="s">
        <v>100</v>
      </c>
      <c r="B8" s="6" t="s">
        <v>9</v>
      </c>
      <c r="C8" s="6" t="s">
        <v>100</v>
      </c>
      <c r="D8" s="6" t="n">
        <f aca="false">COUNTIF(S1_included_studies!$J$2:$J$134,C8)</f>
        <v>27</v>
      </c>
      <c r="E8" s="6" t="n">
        <v>27</v>
      </c>
      <c r="F8" s="6" t="str">
        <f aca="false">IF(D8=E8,"yes","NO")</f>
        <v>yes</v>
      </c>
    </row>
    <row r="9" customFormat="false" ht="15" hidden="false" customHeight="false" outlineLevel="0" collapsed="false">
      <c r="A9" s="6" t="s">
        <v>79</v>
      </c>
      <c r="B9" s="6" t="s">
        <v>9</v>
      </c>
      <c r="C9" s="6" t="s">
        <v>79</v>
      </c>
      <c r="D9" s="6" t="n">
        <f aca="false">COUNTIF(S1_included_studies!$J$2:$J$134,C9)</f>
        <v>20</v>
      </c>
      <c r="E9" s="6" t="n">
        <v>20</v>
      </c>
      <c r="F9" s="6" t="str">
        <f aca="false">IF(D9=E9,"yes","NO")</f>
        <v>yes</v>
      </c>
    </row>
    <row r="10" customFormat="false" ht="15" hidden="false" customHeight="false" outlineLevel="0" collapsed="false">
      <c r="A10" s="6" t="s">
        <v>123</v>
      </c>
      <c r="B10" s="6" t="s">
        <v>9</v>
      </c>
      <c r="C10" s="6" t="s">
        <v>123</v>
      </c>
      <c r="D10" s="6" t="n">
        <f aca="false">COUNTIF(S1_included_studies!$J$2:$J$134,C10)</f>
        <v>17</v>
      </c>
      <c r="E10" s="6" t="n">
        <v>17</v>
      </c>
      <c r="F10" s="6" t="str">
        <f aca="false">IF(D10=E10,"yes","NO")</f>
        <v>yes</v>
      </c>
    </row>
    <row r="11" customFormat="false" ht="15" hidden="false" customHeight="false" outlineLevel="0" collapsed="false">
      <c r="A11" s="6" t="s">
        <v>10</v>
      </c>
      <c r="B11" s="6" t="s">
        <v>10</v>
      </c>
      <c r="C11" s="6" t="s">
        <v>39</v>
      </c>
      <c r="D11" s="6" t="n">
        <f aca="false">COUNTIF(S1_included_studies!$K$2:$K$134,C11)</f>
        <v>56</v>
      </c>
      <c r="E11" s="6" t="n">
        <v>56</v>
      </c>
      <c r="F11" s="6" t="str">
        <f aca="false">IF(D11=E11,"yes","NO")</f>
        <v>yes</v>
      </c>
    </row>
    <row r="12" customFormat="false" ht="15" hidden="false" customHeight="false" outlineLevel="0" collapsed="false">
      <c r="A12" s="6" t="s">
        <v>34</v>
      </c>
      <c r="B12" s="6" t="s">
        <v>11</v>
      </c>
      <c r="C12" s="6" t="s">
        <v>34</v>
      </c>
      <c r="D12" s="6" t="n">
        <f aca="false">COUNTIF(S1_included_studies!$L$2:$L$134,C12)</f>
        <v>83</v>
      </c>
      <c r="E12" s="6" t="n">
        <v>83</v>
      </c>
      <c r="F12" s="6" t="str">
        <f aca="false">IF(D12=E12,"yes","NO")</f>
        <v>yes</v>
      </c>
    </row>
    <row r="13" customFormat="false" ht="15" hidden="false" customHeight="false" outlineLevel="0" collapsed="false">
      <c r="A13" s="6" t="s">
        <v>63</v>
      </c>
      <c r="B13" s="6" t="s">
        <v>11</v>
      </c>
      <c r="C13" s="6" t="s">
        <v>63</v>
      </c>
      <c r="D13" s="6" t="n">
        <f aca="false">COUNTIF(S1_included_studies!$L$2:$L$134,C13)</f>
        <v>23</v>
      </c>
      <c r="E13" s="6" t="n">
        <v>23</v>
      </c>
      <c r="F13" s="6" t="str">
        <f aca="false">IF(D13=E13,"yes","NO")</f>
        <v>yes</v>
      </c>
    </row>
    <row r="14" customFormat="false" ht="15" hidden="false" customHeight="false" outlineLevel="0" collapsed="false">
      <c r="A14" s="6" t="s">
        <v>110</v>
      </c>
      <c r="B14" s="6" t="s">
        <v>11</v>
      </c>
      <c r="C14" s="6" t="s">
        <v>110</v>
      </c>
      <c r="D14" s="6" t="n">
        <f aca="false">COUNTIF(S1_included_studies!$L$2:$L$134,C14)</f>
        <v>10</v>
      </c>
      <c r="E14" s="6" t="n">
        <v>10</v>
      </c>
      <c r="F14" s="6" t="str">
        <f aca="false">IF(D14=E14,"yes","NO")</f>
        <v>yes</v>
      </c>
    </row>
    <row r="15" customFormat="false" ht="15" hidden="false" customHeight="false" outlineLevel="0" collapsed="false">
      <c r="A15" s="6" t="s">
        <v>49</v>
      </c>
      <c r="B15" s="6" t="s">
        <v>12</v>
      </c>
      <c r="C15" s="6" t="s">
        <v>49</v>
      </c>
      <c r="D15" s="6" t="n">
        <f aca="false">COUNTIF(S1_included_studies!$M$2:$M$134,C15)</f>
        <v>109</v>
      </c>
      <c r="E15" s="6" t="n">
        <v>109</v>
      </c>
      <c r="F15" s="6" t="str">
        <f aca="false">IF(D15=E15,"yes","NO")</f>
        <v>yes</v>
      </c>
    </row>
    <row r="16" customFormat="false" ht="15" hidden="false" customHeight="false" outlineLevel="0" collapsed="false">
      <c r="A16" s="6" t="s">
        <v>35</v>
      </c>
      <c r="B16" s="6" t="s">
        <v>12</v>
      </c>
      <c r="C16" s="6" t="s">
        <v>35</v>
      </c>
      <c r="D16" s="6" t="n">
        <f aca="false">COUNTIF(S1_included_studies!$M$2:$M$134,C16)</f>
        <v>21</v>
      </c>
      <c r="E16" s="6" t="n">
        <v>21</v>
      </c>
      <c r="F16" s="6" t="str">
        <f aca="false">IF(D16=E16,"yes","NO")</f>
        <v>yes</v>
      </c>
    </row>
    <row r="17" customFormat="false" ht="15" hidden="false" customHeight="false" outlineLevel="0" collapsed="false">
      <c r="A17" s="6" t="s">
        <v>222</v>
      </c>
      <c r="B17" s="6" t="s">
        <v>12</v>
      </c>
      <c r="C17" s="6" t="s">
        <v>222</v>
      </c>
      <c r="D17" s="6" t="n">
        <f aca="false">COUNTIF(S1_included_studies!$M$2:$M$134,C17)</f>
        <v>3</v>
      </c>
      <c r="E17" s="6" t="n">
        <v>3</v>
      </c>
      <c r="F17" s="6" t="str">
        <f aca="false">IF(D17=E17,"yes","NO")</f>
        <v>yes</v>
      </c>
    </row>
    <row r="18" customFormat="false" ht="15" hidden="false" customHeight="false" outlineLevel="0" collapsed="false">
      <c r="A18" s="6" t="s">
        <v>687</v>
      </c>
      <c r="B18" s="6" t="s">
        <v>13</v>
      </c>
      <c r="C18" s="6" t="s">
        <v>50</v>
      </c>
      <c r="D18" s="6" t="n">
        <f aca="false">COUNTIF(S1_included_studies!$N$2:$N$134,C18)</f>
        <v>105</v>
      </c>
      <c r="E18" s="6" t="n">
        <v>105</v>
      </c>
      <c r="F18" s="6" t="str">
        <f aca="false">IF(D18=E18,"yes","NO")</f>
        <v>yes</v>
      </c>
    </row>
    <row r="19" customFormat="false" ht="15" hidden="false" customHeight="false" outlineLevel="0" collapsed="false">
      <c r="A19" s="6" t="s">
        <v>688</v>
      </c>
      <c r="B19" s="6" t="s">
        <v>13</v>
      </c>
      <c r="C19" s="6" t="s">
        <v>36</v>
      </c>
      <c r="D19" s="6" t="n">
        <f aca="false">COUNTIF(S1_included_studies!$N$2:$N$134,C19)</f>
        <v>9</v>
      </c>
      <c r="E19" s="6" t="n">
        <v>9</v>
      </c>
      <c r="F19" s="6" t="str">
        <f aca="false">IF(D19=E19,"yes","NO")</f>
        <v>yes</v>
      </c>
    </row>
    <row r="20" customFormat="false" ht="15" hidden="false" customHeight="false" outlineLevel="0" collapsed="false">
      <c r="A20" s="6" t="s">
        <v>38</v>
      </c>
      <c r="B20" s="6" t="s">
        <v>15</v>
      </c>
      <c r="C20" s="6" t="s">
        <v>38</v>
      </c>
      <c r="D20" s="6" t="n">
        <f aca="false">COUNTIF(S1_included_studies!$P$2:$P$134,C20)</f>
        <v>98</v>
      </c>
      <c r="E20" s="6" t="n">
        <v>98</v>
      </c>
      <c r="F20" s="6" t="str">
        <f aca="false">IF(D20=E20,"yes","NO")</f>
        <v>yes</v>
      </c>
    </row>
    <row r="21" customFormat="false" ht="15" hidden="false" customHeight="false" outlineLevel="0" collapsed="false">
      <c r="A21" s="6" t="s">
        <v>66</v>
      </c>
      <c r="B21" s="6" t="s">
        <v>15</v>
      </c>
      <c r="C21" s="6" t="s">
        <v>66</v>
      </c>
      <c r="D21" s="6" t="n">
        <f aca="false">COUNTIF(S1_included_studies!$P$2:$P$134,C21)</f>
        <v>20</v>
      </c>
      <c r="E21" s="6" t="n">
        <v>20</v>
      </c>
      <c r="F21" s="6" t="str">
        <f aca="false">IF(D21=E21,"yes","NO")</f>
        <v>yes</v>
      </c>
    </row>
    <row r="22" customFormat="false" ht="15" hidden="false" customHeight="false" outlineLevel="0" collapsed="false">
      <c r="A22" s="6" t="s">
        <v>94</v>
      </c>
      <c r="B22" s="6" t="s">
        <v>15</v>
      </c>
      <c r="C22" s="6" t="s">
        <v>94</v>
      </c>
      <c r="D22" s="6" t="n">
        <f aca="false">COUNTIF(S1_included_studies!$P$2:$P$134,C22)</f>
        <v>6</v>
      </c>
      <c r="E22" s="6" t="n">
        <v>6</v>
      </c>
      <c r="F22" s="6" t="str">
        <f aca="false">IF(D22=E22,"yes","NO")</f>
        <v>yes</v>
      </c>
    </row>
    <row r="23" customFormat="false" ht="15" hidden="false" customHeight="false" outlineLevel="0" collapsed="false">
      <c r="A23" s="6" t="s">
        <v>202</v>
      </c>
      <c r="B23" s="6" t="s">
        <v>15</v>
      </c>
      <c r="C23" s="6" t="s">
        <v>202</v>
      </c>
      <c r="D23" s="6" t="n">
        <f aca="false">COUNTIF(S1_included_studies!$P$2:$P$134,C23)</f>
        <v>8</v>
      </c>
      <c r="E23" s="6" t="n">
        <v>8</v>
      </c>
      <c r="F23" s="6" t="str">
        <f aca="false">IF(D23=E23,"yes","NO")</f>
        <v>yes</v>
      </c>
    </row>
    <row r="24" customFormat="false" ht="15" hidden="false" customHeight="false" outlineLevel="0" collapsed="false">
      <c r="A24" s="6" t="s">
        <v>689</v>
      </c>
      <c r="B24" s="6" t="s">
        <v>16</v>
      </c>
      <c r="C24" s="6" t="s">
        <v>39</v>
      </c>
      <c r="D24" s="6" t="n">
        <f aca="false">COUNTIF(S1_included_studies!$Q$2:$Q$134,C24)</f>
        <v>124</v>
      </c>
      <c r="E24" s="6" t="n">
        <v>124</v>
      </c>
      <c r="F24" s="6" t="str">
        <f aca="false">IF(D24=E24,"yes","NO")</f>
        <v>yes</v>
      </c>
    </row>
    <row r="25" customFormat="false" ht="15" hidden="false" customHeight="false" outlineLevel="0" collapsed="false">
      <c r="A25" s="6" t="s">
        <v>690</v>
      </c>
      <c r="B25" s="6" t="s">
        <v>17</v>
      </c>
      <c r="C25" s="6" t="s">
        <v>81</v>
      </c>
      <c r="D25" s="6" t="n">
        <f aca="false">COUNTIF(S1_included_studies!$R$2:$R$134,C25)</f>
        <v>28</v>
      </c>
      <c r="E25" s="6" t="n">
        <v>28</v>
      </c>
      <c r="F25" s="6" t="str">
        <f aca="false">IF(D25=E25,"yes","NO")</f>
        <v>yes</v>
      </c>
    </row>
    <row r="26" customFormat="false" ht="15" hidden="false" customHeight="false" outlineLevel="0" collapsed="false">
      <c r="A26" s="6" t="s">
        <v>18</v>
      </c>
      <c r="B26" s="6" t="s">
        <v>18</v>
      </c>
      <c r="C26" s="6" t="s">
        <v>39</v>
      </c>
      <c r="D26" s="6" t="n">
        <f aca="false">COUNTIF(S1_included_studies!$S$2:$S$134,C26)</f>
        <v>34</v>
      </c>
      <c r="E26" s="6" t="n">
        <v>34</v>
      </c>
      <c r="F26" s="6" t="str">
        <f aca="false">IF(D26=E26,"yes","NO")</f>
        <v>yes</v>
      </c>
    </row>
    <row r="27" customFormat="false" ht="15" hidden="false" customHeight="false" outlineLevel="0" collapsed="false">
      <c r="A27" s="6" t="s">
        <v>19</v>
      </c>
      <c r="B27" s="6" t="s">
        <v>19</v>
      </c>
      <c r="C27" s="6" t="s">
        <v>39</v>
      </c>
      <c r="D27" s="6" t="n">
        <f aca="false">COUNTIF(S1_included_studies!$T$2:$T$134,C27)</f>
        <v>11</v>
      </c>
      <c r="E27" s="6" t="n">
        <v>11</v>
      </c>
      <c r="F27" s="6" t="str">
        <f aca="false">IF(D27=E27,"yes","NO")</f>
        <v>yes</v>
      </c>
    </row>
    <row r="28" customFormat="false" ht="15" hidden="false" customHeight="false" outlineLevel="0" collapsed="false">
      <c r="A28" s="6" t="s">
        <v>691</v>
      </c>
      <c r="B28" s="6" t="s">
        <v>20</v>
      </c>
      <c r="C28" s="6" t="s">
        <v>53</v>
      </c>
      <c r="D28" s="6" t="n">
        <f aca="false">COUNTIF(S1_included_studies!$U$2:$U$134,C28)</f>
        <v>49</v>
      </c>
      <c r="E28" s="6" t="n">
        <v>49</v>
      </c>
      <c r="F28" s="6" t="str">
        <f aca="false">IF(D28=E28,"yes","NO")</f>
        <v>yes</v>
      </c>
    </row>
    <row r="29" customFormat="false" ht="15" hidden="false" customHeight="false" outlineLevel="0" collapsed="false">
      <c r="A29" s="6" t="s">
        <v>67</v>
      </c>
      <c r="B29" s="6" t="s">
        <v>20</v>
      </c>
      <c r="C29" s="6" t="s">
        <v>67</v>
      </c>
      <c r="D29" s="6" t="n">
        <f aca="false">COUNTIF(S1_included_studies!$U$2:$U$134,C29)</f>
        <v>29</v>
      </c>
      <c r="E29" s="6" t="n">
        <v>29</v>
      </c>
      <c r="F29" s="6" t="str">
        <f aca="false">IF(D29=E29,"yes","NO")</f>
        <v>yes</v>
      </c>
    </row>
    <row r="30" customFormat="false" ht="15" hidden="false" customHeight="false" outlineLevel="0" collapsed="false">
      <c r="A30" s="6" t="s">
        <v>42</v>
      </c>
      <c r="B30" s="6" t="s">
        <v>21</v>
      </c>
      <c r="C30" s="6" t="s">
        <v>42</v>
      </c>
      <c r="D30" s="6" t="n">
        <f aca="false">COUNTIF(S1_included_studies!$V$2:$V$134,C30)</f>
        <v>83</v>
      </c>
      <c r="E30" s="6" t="n">
        <v>83</v>
      </c>
      <c r="F30" s="6" t="str">
        <f aca="false">IF(D30=E30,"yes","NO")</f>
        <v>yes</v>
      </c>
    </row>
    <row r="31" customFormat="false" ht="15" hidden="false" customHeight="false" outlineLevel="0" collapsed="false">
      <c r="A31" s="6" t="s">
        <v>68</v>
      </c>
      <c r="B31" s="6" t="s">
        <v>21</v>
      </c>
      <c r="C31" s="6" t="s">
        <v>68</v>
      </c>
      <c r="D31" s="6" t="n">
        <f aca="false">COUNTIF(S1_included_studies!$V$2:$V$134,C31)</f>
        <v>35</v>
      </c>
      <c r="E31" s="6" t="n">
        <v>35</v>
      </c>
      <c r="F31" s="6" t="str">
        <f aca="false">IF(D31=E31,"yes","NO")</f>
        <v>yes</v>
      </c>
    </row>
    <row r="32" customFormat="false" ht="15" hidden="false" customHeight="false" outlineLevel="0" collapsed="false">
      <c r="A32" s="6" t="s">
        <v>692</v>
      </c>
      <c r="B32" s="6" t="s">
        <v>22</v>
      </c>
      <c r="C32" s="6" t="n">
        <v>0</v>
      </c>
      <c r="D32" s="6" t="n">
        <f aca="false">COUNTIF(S1_included_studies!$W$2:$W$134,C32)</f>
        <v>118</v>
      </c>
      <c r="E32" s="6" t="n">
        <v>118</v>
      </c>
      <c r="F32" s="6" t="str">
        <f aca="false">IF(D32=E32,"yes","NO")</f>
        <v>yes</v>
      </c>
    </row>
    <row r="33" customFormat="false" ht="15" hidden="false" customHeight="false" outlineLevel="0" collapsed="false">
      <c r="A33" s="6" t="s">
        <v>693</v>
      </c>
      <c r="B33" s="6" t="s">
        <v>23</v>
      </c>
      <c r="C33" s="6" t="n">
        <v>1</v>
      </c>
      <c r="D33" s="6" t="n">
        <f aca="false">COUNTIF(S1_included_studies!$X$2:$X$134,C33)</f>
        <v>52</v>
      </c>
      <c r="E33" s="6" t="n">
        <v>52</v>
      </c>
      <c r="F33" s="6" t="str">
        <f aca="false">IF(D33=E33,"yes","NO")</f>
        <v>yes</v>
      </c>
    </row>
    <row r="34" customFormat="false" ht="15" hidden="false" customHeight="false" outlineLevel="0" collapsed="false">
      <c r="A34" s="6" t="s">
        <v>24</v>
      </c>
      <c r="B34" s="6" t="s">
        <v>24</v>
      </c>
      <c r="C34" s="6" t="s">
        <v>39</v>
      </c>
      <c r="D34" s="6" t="n">
        <f aca="false">COUNTIF(S1_included_studies!$Y$2:$Y$134,C34)</f>
        <v>7</v>
      </c>
      <c r="E34" s="6" t="n">
        <v>7</v>
      </c>
      <c r="F34" s="6" t="str">
        <f aca="false">IF(D34=E34,"yes","NO")</f>
        <v>yes</v>
      </c>
    </row>
    <row r="35" customFormat="false" ht="15" hidden="false" customHeight="false" outlineLevel="0" collapsed="false">
      <c r="A35" s="6" t="s">
        <v>694</v>
      </c>
      <c r="B35" s="6" t="s">
        <v>6</v>
      </c>
      <c r="C35" s="6" t="s">
        <v>29</v>
      </c>
      <c r="D35" s="6" t="n">
        <f aca="false">COUNTIF(S1_included_studies!$G$2:$G$134,C35)</f>
        <v>42</v>
      </c>
      <c r="E35" s="6" t="n">
        <v>42</v>
      </c>
      <c r="F35" s="6" t="str">
        <f aca="false">IF(D35=E35,"yes","NO")</f>
        <v>yes</v>
      </c>
    </row>
    <row r="36" customFormat="false" ht="15" hidden="false" customHeight="false" outlineLevel="0" collapsed="false">
      <c r="A36" s="6" t="s">
        <v>695</v>
      </c>
      <c r="B36" s="6" t="s">
        <v>6</v>
      </c>
      <c r="C36" s="6" t="s">
        <v>99</v>
      </c>
      <c r="D36" s="6" t="n">
        <f aca="false">COUNTIF(S1_included_studies!$G$2:$G$134,C36)</f>
        <v>16</v>
      </c>
      <c r="E36" s="6" t="n">
        <v>16</v>
      </c>
      <c r="F36" s="6" t="str">
        <f aca="false">IF(D36=E36,"yes","NO")</f>
        <v>yes</v>
      </c>
    </row>
    <row r="37" customFormat="false" ht="15" hidden="false" customHeight="false" outlineLevel="0" collapsed="false">
      <c r="A37" s="6" t="s">
        <v>696</v>
      </c>
      <c r="B37" s="6" t="s">
        <v>3</v>
      </c>
      <c r="C37" s="6" t="n">
        <v>2025</v>
      </c>
      <c r="D37" s="6" t="n">
        <f aca="false">COUNTIF(S1_included_studies!$D$2:$D$134,C37)</f>
        <v>49</v>
      </c>
      <c r="E37" s="6" t="n">
        <v>49</v>
      </c>
      <c r="F37" s="6" t="str">
        <f aca="false">IF(D37=E37,"yes","NO")</f>
        <v>yes</v>
      </c>
    </row>
    <row r="38" customFormat="false" ht="15" hidden="false" customHeight="false" outlineLevel="0" collapsed="false">
      <c r="A38" s="6" t="s">
        <v>697</v>
      </c>
      <c r="B38" s="6" t="s">
        <v>3</v>
      </c>
      <c r="C38" s="6" t="n">
        <v>2026</v>
      </c>
      <c r="D38" s="6" t="n">
        <f aca="false">COUNTIF(S1_included_studies!$D$2:$D$134,C38)</f>
        <v>35</v>
      </c>
      <c r="E38" s="6" t="n">
        <v>35</v>
      </c>
      <c r="F38" s="6" t="str">
        <f aca="false">IF(D38=E38,"yes","NO")</f>
        <v>yes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2026-09-29T08:51:53Z</dcterms:created>
  <dc:creator>openpyxl</dc:creator>
  <dc:description/>
  <dc:language>en-US</dc:language>
  <cp:lastModifiedBy/>
  <dcterms:modified xsi:type="dcterms:W3CDTF">2026-09-29T08:51:53Z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